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ana\eclipse-workspace\delta1-automation\src\test\resources\"/>
    </mc:Choice>
  </mc:AlternateContent>
  <xr:revisionPtr revIDLastSave="0" documentId="13_ncr:1_{2FDB2052-953C-4021-B9D7-6BF868B13190}" xr6:coauthVersionLast="47" xr6:coauthVersionMax="47" xr10:uidLastSave="{00000000-0000-0000-0000-000000000000}"/>
  <bookViews>
    <workbookView xWindow="-110" yWindow="-110" windowWidth="29020" windowHeight="17500" activeTab="2" xr2:uid="{5F4CC7F0-8BD6-41FD-85C1-DCF17C64A46A}"/>
  </bookViews>
  <sheets>
    <sheet name="Holidays" sheetId="13" r:id="rId1"/>
    <sheet name="AddTickers" sheetId="1" r:id="rId2"/>
    <sheet name="BlotterValidations" sheetId="14" r:id="rId3"/>
    <sheet name="BotCommands" sheetId="2" r:id="rId4"/>
    <sheet name="TC014_DP-2260" sheetId="10" r:id="rId5"/>
    <sheet name="Import Intraday trades" sheetId="9" r:id="rId6"/>
    <sheet name="Euroflex" sheetId="8" r:id="rId7"/>
    <sheet name="Bi-directional IOIs" sheetId="11" r:id="rId8"/>
    <sheet name="Dividend Data" sheetId="5" r:id="rId9"/>
    <sheet name="Dividend Calculation" sheetId="4" r:id="rId10"/>
    <sheet name="Pricingmodel data" sheetId="7" r:id="rId11"/>
    <sheet name="IOI Entry data_Single leg" sheetId="3" r:id="rId12"/>
    <sheet name="IOI Entry data_Jellyroll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5" l="1"/>
  <c r="B6" i="4"/>
  <c r="M18" i="5"/>
  <c r="M17" i="5"/>
  <c r="M8" i="5"/>
  <c r="M12" i="5"/>
  <c r="M7" i="5"/>
  <c r="M15" i="5"/>
  <c r="M6" i="5"/>
  <c r="M4" i="5"/>
  <c r="M5" i="5"/>
  <c r="M21" i="5"/>
  <c r="M9" i="5"/>
  <c r="M3" i="5"/>
  <c r="M14" i="5"/>
  <c r="M16" i="5"/>
  <c r="M22" i="5"/>
  <c r="M2" i="5"/>
  <c r="M24" i="5"/>
  <c r="F4" i="4"/>
  <c r="M11" i="5"/>
  <c r="M19" i="5"/>
  <c r="M13" i="5"/>
  <c r="M23" i="5"/>
  <c r="M20" i="5"/>
  <c r="M10" i="5"/>
  <c r="C7" i="8"/>
  <c r="C6" i="8"/>
  <c r="C5" i="2"/>
  <c r="C4" i="2"/>
  <c r="C3" i="2"/>
  <c r="C2" i="2"/>
  <c r="C2" i="8"/>
  <c r="C3" i="10"/>
  <c r="C2" i="10"/>
  <c r="C8" i="9" l="1"/>
  <c r="C7" i="9"/>
  <c r="C6" i="9"/>
  <c r="C5" i="9"/>
  <c r="C4" i="9"/>
  <c r="C2" i="9"/>
  <c r="C3" i="9"/>
  <c r="C5" i="8"/>
  <c r="C4" i="8"/>
  <c r="C3" i="8"/>
  <c r="E16" i="4"/>
  <c r="Z16" i="4"/>
  <c r="AH95" i="4"/>
  <c r="AI95" i="4" s="1"/>
  <c r="AG95" i="4"/>
  <c r="AG94" i="4"/>
  <c r="AG93" i="4"/>
  <c r="AH93" i="4" s="1"/>
  <c r="AI93" i="4" s="1"/>
  <c r="AG92" i="4"/>
  <c r="AH92" i="4" s="1"/>
  <c r="AI92" i="4" s="1"/>
  <c r="AG91" i="4"/>
  <c r="AG90" i="4"/>
  <c r="AH90" i="4" s="1"/>
  <c r="AG89" i="4"/>
  <c r="AG88" i="4"/>
  <c r="AH88" i="4" s="1"/>
  <c r="AI88" i="4" s="1"/>
  <c r="AG87" i="4"/>
  <c r="AH87" i="4" s="1"/>
  <c r="AI87" i="4" s="1"/>
  <c r="AG86" i="4"/>
  <c r="AG85" i="4"/>
  <c r="AH85" i="4" s="1"/>
  <c r="AI85" i="4" s="1"/>
  <c r="AG84" i="4"/>
  <c r="AH84" i="4" s="1"/>
  <c r="AI84" i="4" s="1"/>
  <c r="AG83" i="4"/>
  <c r="AH83" i="4" s="1"/>
  <c r="AG82" i="4"/>
  <c r="AH82" i="4" s="1"/>
  <c r="AG81" i="4"/>
  <c r="AH80" i="4"/>
  <c r="AI80" i="4" s="1"/>
  <c r="AG80" i="4"/>
  <c r="AG79" i="4"/>
  <c r="AH79" i="4" s="1"/>
  <c r="AI79" i="4" s="1"/>
  <c r="AG78" i="4"/>
  <c r="AG77" i="4"/>
  <c r="AH77" i="4" s="1"/>
  <c r="AI77" i="4" s="1"/>
  <c r="AG76" i="4"/>
  <c r="AH76" i="4" s="1"/>
  <c r="AI76" i="4" s="1"/>
  <c r="AG75" i="4"/>
  <c r="AH75" i="4" s="1"/>
  <c r="AH74" i="4"/>
  <c r="AG74" i="4"/>
  <c r="AG73" i="4"/>
  <c r="AG72" i="4"/>
  <c r="AH72" i="4" s="1"/>
  <c r="AI72" i="4" s="1"/>
  <c r="AG71" i="4"/>
  <c r="AH71" i="4" s="1"/>
  <c r="AI71" i="4" s="1"/>
  <c r="AG70" i="4"/>
  <c r="AG69" i="4"/>
  <c r="AH69" i="4" s="1"/>
  <c r="AI69" i="4" s="1"/>
  <c r="AG68" i="4"/>
  <c r="AG67" i="4"/>
  <c r="AH67" i="4" s="1"/>
  <c r="AI67" i="4" s="1"/>
  <c r="AG66" i="4"/>
  <c r="AH66" i="4" s="1"/>
  <c r="AI66" i="4" s="1"/>
  <c r="AG65" i="4"/>
  <c r="AG64" i="4"/>
  <c r="AH64" i="4" s="1"/>
  <c r="AG63" i="4"/>
  <c r="AG62" i="4"/>
  <c r="AH62" i="4" s="1"/>
  <c r="AI62" i="4" s="1"/>
  <c r="AG61" i="4"/>
  <c r="AH61" i="4" s="1"/>
  <c r="AI61" i="4" s="1"/>
  <c r="AG60" i="4"/>
  <c r="AG59" i="4"/>
  <c r="AH59" i="4" s="1"/>
  <c r="AI59" i="4" s="1"/>
  <c r="AG58" i="4"/>
  <c r="AH58" i="4" s="1"/>
  <c r="AI58" i="4" s="1"/>
  <c r="AG57" i="4"/>
  <c r="AH57" i="4" s="1"/>
  <c r="AG56" i="4"/>
  <c r="AH56" i="4" s="1"/>
  <c r="AG55" i="4"/>
  <c r="AG54" i="4"/>
  <c r="AH54" i="4" s="1"/>
  <c r="AI54" i="4" s="1"/>
  <c r="AG53" i="4"/>
  <c r="AH53" i="4" s="1"/>
  <c r="AI53" i="4" s="1"/>
  <c r="AH52" i="4"/>
  <c r="AI52" i="4" s="1"/>
  <c r="AG52" i="4"/>
  <c r="AG51" i="4"/>
  <c r="AG50" i="4"/>
  <c r="AH50" i="4" s="1"/>
  <c r="AG49" i="4"/>
  <c r="AG48" i="4"/>
  <c r="AH48" i="4" s="1"/>
  <c r="AI48" i="4" s="1"/>
  <c r="AG47" i="4"/>
  <c r="AH47" i="4" s="1"/>
  <c r="AI47" i="4" s="1"/>
  <c r="AG46" i="4"/>
  <c r="AG45" i="4"/>
  <c r="AH45" i="4" s="1"/>
  <c r="AI45" i="4" s="1"/>
  <c r="AG44" i="4"/>
  <c r="AH44" i="4" s="1"/>
  <c r="AI44" i="4" s="1"/>
  <c r="AG43" i="4"/>
  <c r="AH43" i="4" s="1"/>
  <c r="AG42" i="4"/>
  <c r="AH42" i="4" s="1"/>
  <c r="AG41" i="4"/>
  <c r="AG40" i="4"/>
  <c r="AH40" i="4" s="1"/>
  <c r="AI40" i="4" s="1"/>
  <c r="AH39" i="4"/>
  <c r="AI39" i="4" s="1"/>
  <c r="AG39" i="4"/>
  <c r="AG38" i="4"/>
  <c r="AG37" i="4"/>
  <c r="AH37" i="4" s="1"/>
  <c r="AI37" i="4" s="1"/>
  <c r="AG36" i="4"/>
  <c r="AH36" i="4" s="1"/>
  <c r="AI36" i="4" s="1"/>
  <c r="AG35" i="4"/>
  <c r="AG34" i="4"/>
  <c r="AH34" i="4" s="1"/>
  <c r="AG33" i="4"/>
  <c r="AG32" i="4"/>
  <c r="AH32" i="4" s="1"/>
  <c r="AI32" i="4" s="1"/>
  <c r="AG31" i="4"/>
  <c r="AH31" i="4" s="1"/>
  <c r="AI31" i="4" s="1"/>
  <c r="S31" i="4"/>
  <c r="L31" i="4"/>
  <c r="M31" i="4" s="1"/>
  <c r="AG30" i="4"/>
  <c r="AH30" i="4" s="1"/>
  <c r="S30" i="4"/>
  <c r="L30" i="4"/>
  <c r="O30" i="4" s="1"/>
  <c r="R30" i="4" s="1"/>
  <c r="AG29" i="4"/>
  <c r="AH29" i="4" s="1"/>
  <c r="AI29" i="4" s="1"/>
  <c r="S29" i="4"/>
  <c r="L29" i="4"/>
  <c r="M29" i="4" s="1"/>
  <c r="AG28" i="4"/>
  <c r="S28" i="4"/>
  <c r="L28" i="4"/>
  <c r="N28" i="4" s="1"/>
  <c r="AG27" i="4"/>
  <c r="AH27" i="4" s="1"/>
  <c r="AI27" i="4" s="1"/>
  <c r="S27" i="4"/>
  <c r="L27" i="4"/>
  <c r="M27" i="4" s="1"/>
  <c r="AG26" i="4"/>
  <c r="S26" i="4"/>
  <c r="L26" i="4"/>
  <c r="N26" i="4" s="1"/>
  <c r="AH25" i="4"/>
  <c r="AI25" i="4" s="1"/>
  <c r="AG25" i="4"/>
  <c r="S25" i="4"/>
  <c r="L25" i="4"/>
  <c r="M25" i="4" s="1"/>
  <c r="AG24" i="4"/>
  <c r="S24" i="4"/>
  <c r="L24" i="4"/>
  <c r="M24" i="4" s="1"/>
  <c r="P24" i="4" s="1"/>
  <c r="T24" i="4" s="1"/>
  <c r="AH23" i="4"/>
  <c r="AI23" i="4" s="1"/>
  <c r="AG23" i="4"/>
  <c r="S23" i="4"/>
  <c r="L23" i="4"/>
  <c r="M23" i="4" s="1"/>
  <c r="B23" i="4"/>
  <c r="AG22" i="4"/>
  <c r="AH22" i="4" s="1"/>
  <c r="AI22" i="4" s="1"/>
  <c r="S22" i="4"/>
  <c r="L22" i="4"/>
  <c r="N22" i="4" s="1"/>
  <c r="AG21" i="4"/>
  <c r="AH21" i="4" s="1"/>
  <c r="AI21" i="4" s="1"/>
  <c r="S21" i="4"/>
  <c r="L21" i="4"/>
  <c r="AG20" i="4"/>
  <c r="AH20" i="4" s="1"/>
  <c r="AI20" i="4" s="1"/>
  <c r="S20" i="4"/>
  <c r="L20" i="4"/>
  <c r="O20" i="4" s="1"/>
  <c r="AG19" i="4"/>
  <c r="AH19" i="4" s="1"/>
  <c r="AI19" i="4" s="1"/>
  <c r="S19" i="4"/>
  <c r="L19" i="4"/>
  <c r="O19" i="4" s="1"/>
  <c r="R19" i="4" s="1"/>
  <c r="AG18" i="4"/>
  <c r="AH18" i="4" s="1"/>
  <c r="AI18" i="4" s="1"/>
  <c r="S18" i="4"/>
  <c r="L18" i="4"/>
  <c r="O18" i="4" s="1"/>
  <c r="AG17" i="4"/>
  <c r="AH17" i="4" s="1"/>
  <c r="AI17" i="4" s="1"/>
  <c r="S17" i="4"/>
  <c r="L17" i="4"/>
  <c r="AG16" i="4"/>
  <c r="AH16" i="4" s="1"/>
  <c r="AI16" i="4" s="1"/>
  <c r="S16" i="4"/>
  <c r="L16" i="4"/>
  <c r="O16" i="4" s="1"/>
  <c r="L9" i="4"/>
  <c r="O28" i="4" l="1"/>
  <c r="R28" i="4" s="1"/>
  <c r="O27" i="4"/>
  <c r="R27" i="4" s="1"/>
  <c r="O23" i="4"/>
  <c r="R23" i="4" s="1"/>
  <c r="O31" i="4"/>
  <c r="R31" i="4" s="1"/>
  <c r="N18" i="4"/>
  <c r="Q18" i="4" s="1"/>
  <c r="N25" i="4"/>
  <c r="Q25" i="4"/>
  <c r="AI74" i="4"/>
  <c r="N31" i="4"/>
  <c r="Q31" i="4" s="1"/>
  <c r="N27" i="4"/>
  <c r="Q27" i="4" s="1"/>
  <c r="R20" i="4"/>
  <c r="Q26" i="4"/>
  <c r="M28" i="4"/>
  <c r="P28" i="4" s="1"/>
  <c r="T28" i="4" s="1"/>
  <c r="AI90" i="4"/>
  <c r="N20" i="4"/>
  <c r="Q20" i="4" s="1"/>
  <c r="N23" i="4"/>
  <c r="Q23" i="4" s="1"/>
  <c r="O25" i="4"/>
  <c r="R25" i="4" s="1"/>
  <c r="M26" i="4"/>
  <c r="P26" i="4" s="1"/>
  <c r="T26" i="4" s="1"/>
  <c r="AI42" i="4"/>
  <c r="O22" i="4"/>
  <c r="R22" i="4" s="1"/>
  <c r="N24" i="4"/>
  <c r="Q24" i="4" s="1"/>
  <c r="O26" i="4"/>
  <c r="R26" i="4" s="1"/>
  <c r="O24" i="4"/>
  <c r="R24" i="4" s="1"/>
  <c r="AI82" i="4"/>
  <c r="R16" i="4"/>
  <c r="M16" i="4"/>
  <c r="P16" i="4" s="1"/>
  <c r="T16" i="4" s="1"/>
  <c r="N29" i="4"/>
  <c r="Q29" i="4" s="1"/>
  <c r="M30" i="4"/>
  <c r="P30" i="4" s="1"/>
  <c r="T30" i="4" s="1"/>
  <c r="AI34" i="4"/>
  <c r="R18" i="4"/>
  <c r="Q28" i="4"/>
  <c r="O29" i="4"/>
  <c r="R29" i="4" s="1"/>
  <c r="N30" i="4"/>
  <c r="Q30" i="4" s="1"/>
  <c r="B7" i="4"/>
  <c r="AH28" i="4"/>
  <c r="AI28" i="4" s="1"/>
  <c r="AH35" i="4"/>
  <c r="AI35" i="4" s="1"/>
  <c r="N16" i="4"/>
  <c r="Q16" i="4" s="1"/>
  <c r="M18" i="4"/>
  <c r="P18" i="4" s="1"/>
  <c r="T18" i="4" s="1"/>
  <c r="M20" i="4"/>
  <c r="P20" i="4" s="1"/>
  <c r="T20" i="4" s="1"/>
  <c r="M22" i="4"/>
  <c r="P22" i="4" s="1"/>
  <c r="T22" i="4" s="1"/>
  <c r="P23" i="4"/>
  <c r="T23" i="4" s="1"/>
  <c r="P25" i="4"/>
  <c r="T25" i="4" s="1"/>
  <c r="P27" i="4"/>
  <c r="T27" i="4" s="1"/>
  <c r="P29" i="4"/>
  <c r="T29" i="4" s="1"/>
  <c r="P31" i="4"/>
  <c r="T31" i="4" s="1"/>
  <c r="AI50" i="4"/>
  <c r="AI56" i="4"/>
  <c r="AI64" i="4"/>
  <c r="AH24" i="4"/>
  <c r="AI24" i="4" s="1"/>
  <c r="AI30" i="4"/>
  <c r="AI43" i="4"/>
  <c r="AH60" i="4"/>
  <c r="AI60" i="4" s="1"/>
  <c r="AH94" i="4"/>
  <c r="AI94" i="4" s="1"/>
  <c r="AH26" i="4"/>
  <c r="AI26" i="4" s="1"/>
  <c r="AH49" i="4"/>
  <c r="AI49" i="4" s="1"/>
  <c r="AH91" i="4"/>
  <c r="AI91" i="4" s="1"/>
  <c r="AH38" i="4"/>
  <c r="AI38" i="4" s="1"/>
  <c r="AH46" i="4"/>
  <c r="AI46" i="4" s="1"/>
  <c r="AI57" i="4"/>
  <c r="AH65" i="4"/>
  <c r="AI65" i="4" s="1"/>
  <c r="AH70" i="4"/>
  <c r="AI70" i="4" s="1"/>
  <c r="AI75" i="4"/>
  <c r="AH78" i="4"/>
  <c r="AI78" i="4" s="1"/>
  <c r="AI83" i="4"/>
  <c r="AH86" i="4"/>
  <c r="AI86" i="4" s="1"/>
  <c r="M17" i="4"/>
  <c r="P17" i="4" s="1"/>
  <c r="T17" i="4" s="1"/>
  <c r="M19" i="4"/>
  <c r="P19" i="4" s="1"/>
  <c r="M21" i="4"/>
  <c r="P21" i="4" s="1"/>
  <c r="T21" i="4" s="1"/>
  <c r="Q22" i="4"/>
  <c r="AH33" i="4"/>
  <c r="AI33" i="4" s="1"/>
  <c r="AH41" i="4"/>
  <c r="AI41" i="4" s="1"/>
  <c r="AH51" i="4"/>
  <c r="AI51" i="4" s="1"/>
  <c r="AH55" i="4"/>
  <c r="AI55" i="4" s="1"/>
  <c r="AH63" i="4"/>
  <c r="AI63" i="4" s="1"/>
  <c r="AH68" i="4"/>
  <c r="AI68" i="4" s="1"/>
  <c r="AH73" i="4"/>
  <c r="AI73" i="4" s="1"/>
  <c r="AH81" i="4"/>
  <c r="AI81" i="4" s="1"/>
  <c r="AH89" i="4"/>
  <c r="AI89" i="4" s="1"/>
  <c r="N17" i="4"/>
  <c r="Q17" i="4" s="1"/>
  <c r="N19" i="4"/>
  <c r="Q19" i="4" s="1"/>
  <c r="N21" i="4"/>
  <c r="Q21" i="4" s="1"/>
  <c r="O17" i="4"/>
  <c r="R17" i="4" s="1"/>
  <c r="O21" i="4"/>
  <c r="R21" i="4" s="1"/>
  <c r="N20" i="5"/>
  <c r="N7" i="5"/>
  <c r="N14" i="5"/>
  <c r="N9" i="5"/>
  <c r="N12" i="5"/>
  <c r="N2" i="5"/>
  <c r="N13" i="5"/>
  <c r="N10" i="5"/>
  <c r="N21" i="5"/>
  <c r="N17" i="5"/>
  <c r="G4" i="4"/>
  <c r="N4" i="5"/>
  <c r="N22" i="5"/>
  <c r="N11" i="5"/>
  <c r="N18" i="5"/>
  <c r="N16" i="5"/>
  <c r="N3" i="5"/>
  <c r="N6" i="5"/>
  <c r="N24" i="5"/>
  <c r="N15" i="5"/>
  <c r="N5" i="5"/>
  <c r="N19" i="5"/>
  <c r="N8" i="5"/>
  <c r="Q52" i="4" l="1"/>
  <c r="R52" i="4" s="1"/>
  <c r="Q47" i="4"/>
  <c r="T19" i="4"/>
  <c r="Q48" i="4"/>
  <c r="Q50" i="4"/>
  <c r="Q14" i="4"/>
  <c r="R50" i="4" l="1"/>
  <c r="Q51" i="4"/>
  <c r="R51" i="4" s="1"/>
  <c r="Q53" i="4"/>
  <c r="B65" i="4" s="1"/>
  <c r="R48" i="4"/>
  <c r="Q49" i="4"/>
  <c r="R47" i="4"/>
  <c r="Q54" i="4" l="1"/>
  <c r="B69" i="4" s="1"/>
  <c r="R49" i="4"/>
  <c r="C2" i="4" l="1"/>
</calcChain>
</file>

<file path=xl/sharedStrings.xml><?xml version="1.0" encoding="utf-8"?>
<sst xmlns="http://schemas.openxmlformats.org/spreadsheetml/2006/main" count="509" uniqueCount="198">
  <si>
    <t>Ticker</t>
  </si>
  <si>
    <t>/add  IBM</t>
  </si>
  <si>
    <t>Command</t>
  </si>
  <si>
    <t>Command modified</t>
  </si>
  <si>
    <t>Count of valid rows</t>
  </si>
  <si>
    <t>count of invalid rows</t>
  </si>
  <si>
    <t>/add 
IBM 
MSFT
INTC
SPY</t>
  </si>
  <si>
    <t>convert 0.5% net 
HOOD
TSLA
sdjfsnsj
dhfjkdsf</t>
  </si>
  <si>
    <t>Quantity</t>
  </si>
  <si>
    <t>MSFT</t>
  </si>
  <si>
    <t>BRK/B</t>
  </si>
  <si>
    <t>Direction</t>
  </si>
  <si>
    <t>Contract</t>
  </si>
  <si>
    <t>Limit</t>
  </si>
  <si>
    <t>CONVERT</t>
  </si>
  <si>
    <t>REVERSE</t>
  </si>
  <si>
    <t>INTC</t>
  </si>
  <si>
    <t>SEP 20</t>
  </si>
  <si>
    <t>Run</t>
  </si>
  <si>
    <t>ContractID</t>
  </si>
  <si>
    <t>underlyer</t>
  </si>
  <si>
    <t>NEW</t>
  </si>
  <si>
    <t>expiration</t>
  </si>
  <si>
    <t>DVD_CRNCY</t>
  </si>
  <si>
    <t>currency rate</t>
  </si>
  <si>
    <t>Strike</t>
  </si>
  <si>
    <t/>
  </si>
  <si>
    <t>div check</t>
  </si>
  <si>
    <t>Warning threshold</t>
  </si>
  <si>
    <t>*stored in user table and will be defined at the time of account setup default value is 2 here</t>
  </si>
  <si>
    <t>=BDS(B2&amp;" US Equity","BDVD_ALL_PROJECTIONS")</t>
  </si>
  <si>
    <t>#N/A N/A</t>
  </si>
  <si>
    <t xml:space="preserve">This array can be quite big, we only need to call the first 10 rows and perform these logical tests, we have never observed more than 2 declared dividends. </t>
  </si>
  <si>
    <t xml:space="preserve">      ^ this is the formula that generates E10 to J25</t>
  </si>
  <si>
    <t>Undeclared dividends</t>
  </si>
  <si>
    <t>Declared Dividends</t>
  </si>
  <si>
    <t>Data check* check for data anomalies here for each field. If any are found a dividend forecasrt will not be made</t>
  </si>
  <si>
    <t>threshold</t>
  </si>
  <si>
    <t>declare date</t>
  </si>
  <si>
    <t>ex date</t>
  </si>
  <si>
    <t>pay date</t>
  </si>
  <si>
    <t>amount</t>
  </si>
  <si>
    <t>disregard this</t>
  </si>
  <si>
    <t>opts range</t>
  </si>
  <si>
    <t>include</t>
  </si>
  <si>
    <t>Options implied range begin</t>
  </si>
  <si>
    <t>Options implied range end</t>
  </si>
  <si>
    <t>days from div</t>
  </si>
  <si>
    <t>warning</t>
  </si>
  <si>
    <t>record</t>
  </si>
  <si>
    <t>payable</t>
  </si>
  <si>
    <t>net amount</t>
  </si>
  <si>
    <t>periodicity</t>
  </si>
  <si>
    <t>type</t>
  </si>
  <si>
    <t>isregular</t>
  </si>
  <si>
    <t>undeclared div forecast</t>
  </si>
  <si>
    <t>dividend history</t>
  </si>
  <si>
    <t>currencyadjusted</t>
  </si>
  <si>
    <t>Dividend Warning Logic</t>
  </si>
  <si>
    <t>system will perform checks on dividend and highlight the dividend forecast field similar to this right next to the forecast that has a warning:</t>
  </si>
  <si>
    <t>currency adjusted</t>
  </si>
  <si>
    <t>NEW logic</t>
  </si>
  <si>
    <t>undeclared dividends</t>
  </si>
  <si>
    <t>Total dividends</t>
  </si>
  <si>
    <t>Options implied range mid</t>
  </si>
  <si>
    <t>#1 error: if any portion undeclared still need flag</t>
  </si>
  <si>
    <t>#2 error</t>
  </si>
  <si>
    <t>There are 2 possible dividend warnings, the icon will appear next to the projected dividend per share, and hovering the mouse over this forecast will display the corresponding warning message</t>
  </si>
  <si>
    <t xml:space="preserve">User table with have a number value field for dividend warning for each user. </t>
  </si>
  <si>
    <t>- Users created will have this set to 365 by default</t>
  </si>
  <si>
    <t>- system should allow for a zero value here which would turn this warning off</t>
  </si>
  <si>
    <t>1 - forecast Includes undeclared dividend</t>
  </si>
  <si>
    <t>if</t>
  </si>
  <si>
    <t>then the warning symbol will display next to that forecast and mousing over will display the warning message</t>
  </si>
  <si>
    <t>"Dividend projection includes an undeclared dividend"</t>
  </si>
  <si>
    <t>2 - forecast not available</t>
  </si>
  <si>
    <t>"There appears to be a dividend in this contract but no projection is available"</t>
  </si>
  <si>
    <t>Some examples: HYG, TLT, stocks pay dividends so the flag in cell B7 will be TRUE but there will be no projections available in CELLS E12 to J27</t>
  </si>
  <si>
    <t>To clarify, there are several scenarios where warnings will NOT be triggered</t>
  </si>
  <si>
    <t>1. There are no dividends, B87 will flag FALSE and cells E12 to J27 will have no results, no warning here, this will be the majority of cases</t>
  </si>
  <si>
    <t>2. There is a dividend before the expiration but it has already been declared, the forecase will reflect the declared dividend only but nothing else</t>
  </si>
  <si>
    <t>EXAMPLE: (will work on 9/24 or earlier)</t>
  </si>
  <si>
    <t>CY already has a declared dividend on 9/25, so if for example, it was an 10/19/19 expiration, NO warning flag would be triggered:</t>
  </si>
  <si>
    <t>But if the same stock has a contract with a 1/17/20 expiration, the flag WOULD be triggered</t>
  </si>
  <si>
    <t>Single leg</t>
  </si>
  <si>
    <t>Expiration1</t>
  </si>
  <si>
    <t>Strike1</t>
  </si>
  <si>
    <t>Expiration2</t>
  </si>
  <si>
    <t>Strike2</t>
  </si>
  <si>
    <t>Dividend</t>
  </si>
  <si>
    <t>Warningflag1</t>
  </si>
  <si>
    <t>Warningflag2</t>
  </si>
  <si>
    <t>DIS</t>
  </si>
  <si>
    <t>GM</t>
  </si>
  <si>
    <t>SHOP</t>
  </si>
  <si>
    <t>LUV</t>
  </si>
  <si>
    <t>GS</t>
  </si>
  <si>
    <t>UBER</t>
  </si>
  <si>
    <t>OXY</t>
  </si>
  <si>
    <t>SNAP</t>
  </si>
  <si>
    <t>NFLX</t>
  </si>
  <si>
    <t>SQ</t>
  </si>
  <si>
    <t>TSLA</t>
  </si>
  <si>
    <t>AMD</t>
  </si>
  <si>
    <t>QCOM</t>
  </si>
  <si>
    <t>T</t>
  </si>
  <si>
    <t>WFC</t>
  </si>
  <si>
    <t>C</t>
  </si>
  <si>
    <t>CVS</t>
  </si>
  <si>
    <t>INTU</t>
  </si>
  <si>
    <t>XOM</t>
  </si>
  <si>
    <t>TGT</t>
  </si>
  <si>
    <t>BMO</t>
  </si>
  <si>
    <t>Data</t>
  </si>
  <si>
    <t>JAN 400</t>
  </si>
  <si>
    <t>nov 27.5</t>
  </si>
  <si>
    <t>nov 305</t>
  </si>
  <si>
    <t>nov 375</t>
  </si>
  <si>
    <t>nov 80</t>
  </si>
  <si>
    <t>nov 42.5</t>
  </si>
  <si>
    <t>nov 240</t>
  </si>
  <si>
    <t>nov 100</t>
  </si>
  <si>
    <t>nov 110</t>
  </si>
  <si>
    <t>nov 45</t>
  </si>
  <si>
    <t>nov 14</t>
  </si>
  <si>
    <t>nov 37.5</t>
  </si>
  <si>
    <t>nov 39</t>
  </si>
  <si>
    <t>nov 67.5</t>
  </si>
  <si>
    <t>nov 500</t>
  </si>
  <si>
    <t>nov 31</t>
  </si>
  <si>
    <t>nov 50</t>
  </si>
  <si>
    <t>nov 60</t>
  </si>
  <si>
    <t>nov 115</t>
  </si>
  <si>
    <t>nov 105</t>
  </si>
  <si>
    <t>dec 440</t>
  </si>
  <si>
    <t>SPY</t>
  </si>
  <si>
    <t>Quarter</t>
  </si>
  <si>
    <t>Income</t>
  </si>
  <si>
    <t>Irreg</t>
  </si>
  <si>
    <t>Special Cash</t>
  </si>
  <si>
    <t>Long Term Cap Gain</t>
  </si>
  <si>
    <t>None</t>
  </si>
  <si>
    <t>Short Term Cap Gain</t>
  </si>
  <si>
    <t>S= 65.32
K= 75
K1= 90
K2= 90
r_repo = -1
r_csa = 5.32
vol = 13.93
dt_exp = Date(2023,10,20)#today() + Day(180)
dt_exp2 = Date(2023,05,19)
dt_trade = Date(2023,09,14)#today()
useRepo = true
conversion_mkt = 0.0050
steps_per_day = 5
dt_exdiv_vec = Date[]
dt_divpmt_vec = Date[]
divamt_vec = Float64[]</t>
  </si>
  <si>
    <t>/add  IBM Nov 121.5 euroflex</t>
  </si>
  <si>
    <t>/add  IBM Nov 121.5 euro</t>
  </si>
  <si>
    <t xml:space="preserve">/addhist
GOOG Sep 105 line 5000x traded .44 paid to rev </t>
  </si>
  <si>
    <t>/add AMD Jan24 120 r/c 1.11 B to rev 1500x</t>
  </si>
  <si>
    <t>GOOG</t>
  </si>
  <si>
    <t>Contract ID</t>
  </si>
  <si>
    <t>Sep 105</t>
  </si>
  <si>
    <t>GOOG Sep 105 line 5000x trades .44 paid to reverse</t>
  </si>
  <si>
    <t>Sep 455</t>
  </si>
  <si>
    <t>QQQ Sep 350 rev con collected 1.36 to convert 2,000x</t>
  </si>
  <si>
    <t>QQQ</t>
  </si>
  <si>
    <t>Sep 350</t>
  </si>
  <si>
    <t>EEM Sep 34 line paid 0.15 to reverse 14k</t>
  </si>
  <si>
    <t>EEM</t>
  </si>
  <si>
    <t>EFA</t>
  </si>
  <si>
    <t xml:space="preserve">EFA Sep 65 line 15,500x traded .275 collected to reverse	</t>
  </si>
  <si>
    <t>SPY Sep 455 rev con paid .46 to convert 5,000x</t>
  </si>
  <si>
    <t xml:space="preserve">/add GOOG Sep 105 </t>
  </si>
  <si>
    <t>goog</t>
  </si>
  <si>
    <t>bmo</t>
  </si>
  <si>
    <t>/add tsla dec8 230 - sep'25 240 jr</t>
  </si>
  <si>
    <t>/add tsla sep'25 240</t>
  </si>
  <si>
    <t>/add  IBM Nov - Dec 121.5 jr euro</t>
  </si>
  <si>
    <t>/add  BRK/B Nov 121.5 euroflex</t>
  </si>
  <si>
    <t>/add NVDA Nov 140 Euroflex RevCon 9000x traded 0.545 paid to reverse</t>
  </si>
  <si>
    <t>/add JNJ today 165 ef strike 0.5b - looking to reverse 168x</t>
  </si>
  <si>
    <t>Date</t>
  </si>
  <si>
    <t>MSFT,INTC</t>
  </si>
  <si>
    <t>ARKK
ABBV</t>
  </si>
  <si>
    <t>DELL GOOG</t>
  </si>
  <si>
    <t>BRK/B
MSFT,INTC
DELL GOOG</t>
  </si>
  <si>
    <t>BRK/B Dec26 210</t>
  </si>
  <si>
    <t>Arkk jan28 45</t>
  </si>
  <si>
    <t>achr mar 30 ef</t>
  </si>
  <si>
    <t>achr mar 30 euroflex</t>
  </si>
  <si>
    <t>achr mar 30 euro</t>
  </si>
  <si>
    <t>AMD Dec-Jan 200 jr EF</t>
  </si>
  <si>
    <t>GLD dec 361-mar 385 jroll euro</t>
  </si>
  <si>
    <t>aapl dec 231-mar 280 euroflex jellyroll</t>
  </si>
  <si>
    <t>Run Flag</t>
  </si>
  <si>
    <t>Tickers</t>
  </si>
  <si>
    <t>Expirations</t>
  </si>
  <si>
    <t>Mar6/Mar20</t>
  </si>
  <si>
    <t>APR
Mar/May</t>
  </si>
  <si>
    <t>Apr
Mar</t>
  </si>
  <si>
    <t>Mar'25</t>
  </si>
  <si>
    <t>AMZN</t>
  </si>
  <si>
    <t>Apr/Jun</t>
  </si>
  <si>
    <t>FOUR</t>
  </si>
  <si>
    <t>Mar'27/Apr</t>
  </si>
  <si>
    <t>AAPL</t>
  </si>
  <si>
    <t>Apr</t>
  </si>
  <si>
    <t>Apr
Mar'27/Apr</t>
  </si>
  <si>
    <t>May8/Jan4
Apr24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</si>
</sst>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5"/>
      <color rgb="FFFF0000"/>
      <name val="Calibri"/>
      <family val="2"/>
      <scheme val="minor"/>
    </font>
    <font>
      <sz val="1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2" borderId="1" xfId="0" applyFill="1" applyBorder="1"/>
    <xf numFmtId="0" fontId="3" fillId="3" borderId="0" xfId="0" applyFont="1" applyFill="1"/>
    <xf numFmtId="0" fontId="0" fillId="4" borderId="0" xfId="0" applyFill="1"/>
    <xf numFmtId="0" fontId="3" fillId="3" borderId="2" xfId="0" applyFont="1" applyFill="1" applyBorder="1"/>
    <xf numFmtId="0" fontId="0" fillId="0" borderId="0" xfId="0" quotePrefix="1"/>
    <xf numFmtId="0" fontId="0" fillId="5" borderId="1" xfId="0" applyFill="1" applyBorder="1"/>
    <xf numFmtId="0" fontId="4" fillId="0" borderId="0" xfId="0" applyFont="1"/>
    <xf numFmtId="0" fontId="5" fillId="0" borderId="0" xfId="0" applyFont="1"/>
    <xf numFmtId="14" fontId="0" fillId="0" borderId="0" xfId="0" quotePrefix="1" applyNumberFormat="1"/>
    <xf numFmtId="0" fontId="1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9" xfId="0" applyBorder="1"/>
    <xf numFmtId="0" fontId="0" fillId="0" borderId="10" xfId="0" applyBorder="1"/>
    <xf numFmtId="0" fontId="5" fillId="0" borderId="10" xfId="0" applyFont="1" applyBorder="1"/>
    <xf numFmtId="0" fontId="1" fillId="0" borderId="9" xfId="0" applyFont="1" applyBorder="1"/>
    <xf numFmtId="0" fontId="1" fillId="0" borderId="10" xfId="0" applyFont="1" applyBorder="1"/>
    <xf numFmtId="1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1" fillId="0" borderId="0" xfId="0" applyNumberFormat="1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Alignment="1">
      <alignment horizontal="right"/>
    </xf>
    <xf numFmtId="14" fontId="0" fillId="5" borderId="3" xfId="0" applyNumberFormat="1" applyFill="1" applyBorder="1"/>
    <xf numFmtId="14" fontId="0" fillId="5" borderId="4" xfId="0" applyNumberFormat="1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11" xfId="0" applyFill="1" applyBorder="1"/>
    <xf numFmtId="0" fontId="1" fillId="0" borderId="0" xfId="0" applyFont="1" applyAlignment="1">
      <alignment horizontal="right"/>
    </xf>
    <xf numFmtId="14" fontId="1" fillId="5" borderId="3" xfId="0" applyNumberFormat="1" applyFont="1" applyFill="1" applyBorder="1"/>
    <xf numFmtId="14" fontId="1" fillId="5" borderId="4" xfId="0" applyNumberFormat="1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11" xfId="0" applyFont="1" applyFill="1" applyBorder="1"/>
    <xf numFmtId="14" fontId="0" fillId="5" borderId="9" xfId="0" applyNumberFormat="1" applyFill="1" applyBorder="1"/>
    <xf numFmtId="14" fontId="0" fillId="5" borderId="0" xfId="0" applyNumberFormat="1" applyFill="1"/>
    <xf numFmtId="0" fontId="0" fillId="5" borderId="0" xfId="0" applyFill="1"/>
    <xf numFmtId="0" fontId="0" fillId="5" borderId="10" xfId="0" applyFill="1" applyBorder="1"/>
    <xf numFmtId="14" fontId="1" fillId="5" borderId="9" xfId="0" applyNumberFormat="1" applyFont="1" applyFill="1" applyBorder="1"/>
    <xf numFmtId="14" fontId="1" fillId="5" borderId="0" xfId="0" applyNumberFormat="1" applyFont="1" applyFill="1"/>
    <xf numFmtId="0" fontId="1" fillId="5" borderId="0" xfId="0" applyFont="1" applyFill="1"/>
    <xf numFmtId="0" fontId="1" fillId="5" borderId="10" xfId="0" applyFont="1" applyFill="1" applyBorder="1"/>
    <xf numFmtId="16" fontId="0" fillId="0" borderId="0" xfId="0" applyNumberFormat="1"/>
    <xf numFmtId="14" fontId="0" fillId="5" borderId="6" xfId="0" applyNumberFormat="1" applyFill="1" applyBorder="1"/>
    <xf numFmtId="14" fontId="0" fillId="5" borderId="7" xfId="0" applyNumberFormat="1" applyFill="1" applyBorder="1"/>
    <xf numFmtId="0" fontId="0" fillId="5" borderId="7" xfId="0" applyFill="1" applyBorder="1"/>
    <xf numFmtId="0" fontId="0" fillId="5" borderId="8" xfId="0" applyFill="1" applyBorder="1"/>
    <xf numFmtId="14" fontId="0" fillId="0" borderId="9" xfId="0" applyNumberFormat="1" applyBorder="1"/>
    <xf numFmtId="0" fontId="1" fillId="0" borderId="0" xfId="0" applyFont="1" applyAlignment="1">
      <alignment wrapText="1"/>
    </xf>
    <xf numFmtId="0" fontId="0" fillId="0" borderId="10" xfId="0" applyBorder="1" applyAlignment="1">
      <alignment wrapText="1"/>
    </xf>
    <xf numFmtId="0" fontId="7" fillId="0" borderId="0" xfId="0" applyFont="1"/>
    <xf numFmtId="14" fontId="0" fillId="0" borderId="6" xfId="0" applyNumberFormat="1" applyBorder="1"/>
    <xf numFmtId="14" fontId="0" fillId="0" borderId="7" xfId="0" applyNumberFormat="1" applyBorder="1"/>
    <xf numFmtId="0" fontId="3" fillId="0" borderId="0" xfId="0" applyFont="1" applyAlignment="1">
      <alignment horizontal="right"/>
    </xf>
    <xf numFmtId="0" fontId="3" fillId="5" borderId="1" xfId="0" applyFont="1" applyFill="1" applyBorder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/>
    </xf>
    <xf numFmtId="0" fontId="5" fillId="5" borderId="1" xfId="0" applyFont="1" applyFill="1" applyBorder="1"/>
    <xf numFmtId="0" fontId="5" fillId="5" borderId="0" xfId="0" applyFont="1" applyFill="1"/>
    <xf numFmtId="0" fontId="8" fillId="0" borderId="0" xfId="0" applyFont="1"/>
    <xf numFmtId="0" fontId="2" fillId="0" borderId="0" xfId="0" applyFont="1"/>
    <xf numFmtId="0" fontId="2" fillId="0" borderId="0" xfId="0" quotePrefix="1" applyFont="1"/>
    <xf numFmtId="0" fontId="9" fillId="0" borderId="0" xfId="0" applyFont="1"/>
    <xf numFmtId="0" fontId="10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12" xfId="0" applyBorder="1" applyAlignment="1">
      <alignment wrapText="1"/>
    </xf>
    <xf numFmtId="0" fontId="2" fillId="6" borderId="12" xfId="0" applyFont="1" applyFill="1" applyBorder="1" applyAlignment="1">
      <alignment wrapText="1"/>
    </xf>
    <xf numFmtId="17" fontId="0" fillId="0" borderId="12" xfId="0" applyNumberFormat="1" applyBorder="1" applyAlignment="1">
      <alignment wrapText="1"/>
    </xf>
    <xf numFmtId="164" fontId="0" fillId="0" borderId="0" xfId="0" applyNumberForma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5" fillId="0" borderId="0" xfId="0" applyFont="1" applyAlignment="1">
      <alignment horizontal="center" vertical="top" wrapText="1"/>
    </xf>
    <xf numFmtId="16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Data...1046207528</v>
        <stp/>
        <stp>BDP|14014614177385490883</stp>
        <tr r="M11" s="5"/>
      </tp>
      <tp t="s">
        <v>#N/A Requesting Data...1962430679</v>
        <stp/>
        <stp>BDP|17914771070757396967</stp>
        <tr r="M23" s="5"/>
      </tp>
      <tp t="s">
        <v>#N/A Requesting Data...730921660</v>
        <stp/>
        <stp>BDP|12191885856176020024</stp>
        <tr r="M19" s="5"/>
      </tp>
      <tp t="s">
        <v>#N/A Requesting Data...4199425686</v>
        <stp/>
        <stp>BDP|11222918239606141336</stp>
        <tr r="M10" s="5"/>
      </tp>
      <tp t="s">
        <v>#N/A Requesting Data...1723627710</v>
        <stp/>
        <stp>BDP|10651803860804892507</stp>
        <tr r="M20" s="5"/>
      </tp>
      <tp t="s">
        <v>#N/A Requesting Data...1460464719</v>
        <stp/>
        <stp>BDP|11138132499892845425</stp>
        <tr r="B6" s="4"/>
      </tp>
      <tp t="s">
        <v>#N/A Requesting Data...1006319567</v>
        <stp/>
        <stp>BDP|14818210720281309974</stp>
        <tr r="F4" s="4"/>
        <tr r="M24" s="5"/>
      </tp>
      <tp t="s">
        <v>#N/A Requesting Data...2264739953</v>
        <stp/>
        <stp>BDP|17354182839553220513</stp>
        <tr r="M18" s="5"/>
      </tp>
      <tp t="s">
        <v>#N/A Requesting Data...2354124337</v>
        <stp/>
        <stp>BDP|15833637773500916777</stp>
        <tr r="M22" s="5"/>
      </tp>
      <tp t="s">
        <v>#N/A Requesting Data...2234697273</v>
        <stp/>
        <stp>BDP|10553485173797766561</stp>
        <tr r="M17" s="5"/>
      </tp>
      <tp t="s">
        <v>#N/A Requesting Data...4141333779</v>
        <stp/>
        <stp>BDP|10725320790729783234</stp>
        <tr r="M8" s="5"/>
      </tp>
      <tp t="s">
        <v>#N/A Requesting Data...2594368292</v>
        <stp/>
        <stp>BDP|15290075098549931204</stp>
        <tr r="M2" s="5"/>
      </tp>
      <tp t="s">
        <v>#N/A Requesting Data...1458498545</v>
        <stp/>
        <stp>BDP|11090127615376453378</stp>
        <tr r="M13" s="5"/>
      </tp>
    </main>
    <main first="bofaddin.rtdserver">
      <tp t="s">
        <v>#N/A Requesting Data...2421228831</v>
        <stp/>
        <stp>BDP|4236539151683226891</stp>
        <tr r="M21" s="5"/>
      </tp>
      <tp t="s">
        <v>#N/A Requesting Data...3245380786</v>
        <stp/>
        <stp>BDP|2613081399981359290</stp>
        <tr r="M12" s="5"/>
      </tp>
      <tp t="s">
        <v>#N/A Requesting Data...4109000424</v>
        <stp/>
        <stp>BDP|2154512199383777756</stp>
        <tr r="M6" s="5"/>
      </tp>
      <tp t="e">
        <v>#N/A</v>
        <stp/>
        <stp>BDS|3853887909216984764</stp>
        <tr r="Z16" s="4"/>
      </tp>
      <tp t="s">
        <v>#N/A N/A</v>
        <stp/>
        <stp>BDP|2839270032424882394</stp>
        <tr r="N23" s="5"/>
      </tp>
      <tp t="s">
        <v>#N/A Requesting Data...3960586980</v>
        <stp/>
        <stp>BDP|2219595241806083194</stp>
        <tr r="M15" s="5"/>
        <tr r="M7" s="5"/>
      </tp>
      <tp t="e">
        <v>#N/A</v>
        <stp/>
        <stp>BDS|7395732563611555367</stp>
        <tr r="E16" s="4"/>
      </tp>
      <tp t="s">
        <v>#N/A Requesting Data...720591433</v>
        <stp/>
        <stp>BDP|7276645360862777315</stp>
        <tr r="M5" s="5"/>
      </tp>
      <tp t="s">
        <v>#N/A Requesting Data...2772472289</v>
        <stp/>
        <stp>BDP|1614643148556376256</stp>
        <tr r="M9" s="5"/>
      </tp>
      <tp t="s">
        <v>#N/A Requesting Data...3269864654</v>
        <stp/>
        <stp>BDP|8389300253224362856</stp>
        <tr r="M4" s="5"/>
      </tp>
      <tp t="s">
        <v>#N/A Requesting Data...3835170269</v>
        <stp/>
        <stp>BDP|1386483162619383929</stp>
        <tr r="M3" s="5"/>
      </tp>
      <tp t="s">
        <v>#N/A Requesting Data...1801494467</v>
        <stp/>
        <stp>BDP|722161999546011081</stp>
        <tr r="M14" s="5"/>
      </tp>
      <tp t="s">
        <v>#N/A Requesting Data...870105791</v>
        <stp/>
        <stp>BDP|281963796682346956</stp>
        <tr r="M16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47626</xdr:colOff>
      <xdr:row>7</xdr:row>
      <xdr:rowOff>180975</xdr:rowOff>
    </xdr:from>
    <xdr:to>
      <xdr:col>4</xdr:col>
      <xdr:colOff>171450</xdr:colOff>
      <xdr:row>15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717819E-58E4-4435-AD7F-8DED8AC7B46A}"/>
            </a:ext>
          </a:extLst>
        </xdr:cNvPr>
        <xdr:cNvCxnSpPr/>
      </xdr:nvCxnSpPr>
      <xdr:spPr>
        <a:xfrm>
          <a:off x="3324226" y="1800225"/>
          <a:ext cx="123824" cy="1933575"/>
        </a:xfrm>
        <a:prstGeom prst="straightConnector1">
          <a:avLst/>
        </a:prstGeom>
        <a:ln w="254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304800</xdr:colOff>
      <xdr:row>46</xdr:row>
      <xdr:rowOff>117475</xdr:rowOff>
    </xdr:to>
    <xdr:sp macro="" textlink="">
      <xdr:nvSpPr>
        <xdr:cNvPr id="3" name="AutoShape 1" descr="Image result for warning icon">
          <a:extLst>
            <a:ext uri="{FF2B5EF4-FFF2-40B4-BE49-F238E27FC236}">
              <a16:creationId xmlns:a16="http://schemas.microsoft.com/office/drawing/2014/main" id="{DC253C59-F384-435A-9AE0-2FEFC09DDAC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00203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361951</xdr:colOff>
      <xdr:row>46</xdr:row>
      <xdr:rowOff>95251</xdr:rowOff>
    </xdr:from>
    <xdr:to>
      <xdr:col>0</xdr:col>
      <xdr:colOff>971551</xdr:colOff>
      <xdr:row>49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A78331-AAB4-4ABE-93A3-CD87D6B1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1" y="10315576"/>
          <a:ext cx="6096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78</xdr:row>
      <xdr:rowOff>66675</xdr:rowOff>
    </xdr:from>
    <xdr:to>
      <xdr:col>18</xdr:col>
      <xdr:colOff>368300</xdr:colOff>
      <xdr:row>115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6A1267-80ED-4F06-B259-D7D6EE22C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6802100"/>
          <a:ext cx="12741275" cy="704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119</xdr:row>
      <xdr:rowOff>57150</xdr:rowOff>
    </xdr:from>
    <xdr:to>
      <xdr:col>18</xdr:col>
      <xdr:colOff>206375</xdr:colOff>
      <xdr:row>156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FC52CC-C44C-4AA9-8095-4BFDFC3D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4765000"/>
          <a:ext cx="12741275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40F3-E424-42DE-96FA-8E4DC7E5B14B}">
  <dimension ref="A1:A60"/>
  <sheetViews>
    <sheetView workbookViewId="0">
      <selection activeCell="A9" sqref="A9"/>
    </sheetView>
  </sheetViews>
  <sheetFormatPr defaultRowHeight="14.5" x14ac:dyDescent="0.35"/>
  <cols>
    <col min="1" max="1" width="10.7265625" bestFit="1" customWidth="1"/>
  </cols>
  <sheetData>
    <row r="1" spans="1:1" x14ac:dyDescent="0.35">
      <c r="A1" t="s">
        <v>170</v>
      </c>
    </row>
    <row r="2" spans="1:1" x14ac:dyDescent="0.35">
      <c r="A2" s="79">
        <v>45651</v>
      </c>
    </row>
    <row r="3" spans="1:1" x14ac:dyDescent="0.35">
      <c r="A3" s="79">
        <v>45658</v>
      </c>
    </row>
    <row r="4" spans="1:1" x14ac:dyDescent="0.35">
      <c r="A4" s="79">
        <v>45677</v>
      </c>
    </row>
    <row r="5" spans="1:1" x14ac:dyDescent="0.35">
      <c r="A5" s="79">
        <v>45705</v>
      </c>
    </row>
    <row r="6" spans="1:1" x14ac:dyDescent="0.35">
      <c r="A6" s="79">
        <v>45765</v>
      </c>
    </row>
    <row r="7" spans="1:1" x14ac:dyDescent="0.35">
      <c r="A7" s="79">
        <v>45803</v>
      </c>
    </row>
    <row r="8" spans="1:1" x14ac:dyDescent="0.35">
      <c r="A8" s="79">
        <v>45827</v>
      </c>
    </row>
    <row r="9" spans="1:1" x14ac:dyDescent="0.35">
      <c r="A9" s="79">
        <v>45842</v>
      </c>
    </row>
    <row r="10" spans="1:1" x14ac:dyDescent="0.35">
      <c r="A10" s="79">
        <v>45901</v>
      </c>
    </row>
    <row r="11" spans="1:1" x14ac:dyDescent="0.35">
      <c r="A11" s="79">
        <v>45943</v>
      </c>
    </row>
    <row r="12" spans="1:1" x14ac:dyDescent="0.35">
      <c r="A12" s="79">
        <v>45972</v>
      </c>
    </row>
    <row r="13" spans="1:1" x14ac:dyDescent="0.35">
      <c r="A13" s="79">
        <v>45988</v>
      </c>
    </row>
    <row r="14" spans="1:1" x14ac:dyDescent="0.35">
      <c r="A14" s="79">
        <v>46016</v>
      </c>
    </row>
    <row r="15" spans="1:1" x14ac:dyDescent="0.35">
      <c r="A15" s="79">
        <v>46023</v>
      </c>
    </row>
    <row r="16" spans="1:1" x14ac:dyDescent="0.35">
      <c r="A16" s="79">
        <v>46041</v>
      </c>
    </row>
    <row r="17" spans="1:1" x14ac:dyDescent="0.35">
      <c r="A17" s="79">
        <v>46069</v>
      </c>
    </row>
    <row r="18" spans="1:1" x14ac:dyDescent="0.35">
      <c r="A18" s="79">
        <v>46115</v>
      </c>
    </row>
    <row r="19" spans="1:1" x14ac:dyDescent="0.35">
      <c r="A19" s="79">
        <v>46167</v>
      </c>
    </row>
    <row r="20" spans="1:1" x14ac:dyDescent="0.35">
      <c r="A20" s="79">
        <v>46192</v>
      </c>
    </row>
    <row r="21" spans="1:1" x14ac:dyDescent="0.35">
      <c r="A21" s="79">
        <v>46206</v>
      </c>
    </row>
    <row r="22" spans="1:1" x14ac:dyDescent="0.35">
      <c r="A22" s="79">
        <v>46272</v>
      </c>
    </row>
    <row r="23" spans="1:1" x14ac:dyDescent="0.35">
      <c r="A23" s="79">
        <v>46307</v>
      </c>
    </row>
    <row r="24" spans="1:1" x14ac:dyDescent="0.35">
      <c r="A24" s="79">
        <v>46337</v>
      </c>
    </row>
    <row r="25" spans="1:1" x14ac:dyDescent="0.35">
      <c r="A25" s="79">
        <v>46352</v>
      </c>
    </row>
    <row r="26" spans="1:1" x14ac:dyDescent="0.35">
      <c r="A26" s="79">
        <v>46381</v>
      </c>
    </row>
    <row r="27" spans="1:1" x14ac:dyDescent="0.35">
      <c r="A27" s="79">
        <v>46388</v>
      </c>
    </row>
    <row r="28" spans="1:1" x14ac:dyDescent="0.35">
      <c r="A28" s="79">
        <v>46405</v>
      </c>
    </row>
    <row r="29" spans="1:1" x14ac:dyDescent="0.35">
      <c r="A29" s="79">
        <v>46433</v>
      </c>
    </row>
    <row r="30" spans="1:1" x14ac:dyDescent="0.35">
      <c r="A30" s="79">
        <v>46472</v>
      </c>
    </row>
    <row r="31" spans="1:1" x14ac:dyDescent="0.35">
      <c r="A31" s="79">
        <v>46538</v>
      </c>
    </row>
    <row r="32" spans="1:1" x14ac:dyDescent="0.35">
      <c r="A32" s="79">
        <v>46556</v>
      </c>
    </row>
    <row r="33" spans="1:1" x14ac:dyDescent="0.35">
      <c r="A33" s="79">
        <v>46573</v>
      </c>
    </row>
    <row r="34" spans="1:1" x14ac:dyDescent="0.35">
      <c r="A34" s="79">
        <v>46636</v>
      </c>
    </row>
    <row r="35" spans="1:1" x14ac:dyDescent="0.35">
      <c r="A35" s="79">
        <v>46671</v>
      </c>
    </row>
    <row r="36" spans="1:1" x14ac:dyDescent="0.35">
      <c r="A36" s="79">
        <v>46702</v>
      </c>
    </row>
    <row r="37" spans="1:1" x14ac:dyDescent="0.35">
      <c r="A37" s="79">
        <v>46716</v>
      </c>
    </row>
    <row r="38" spans="1:1" x14ac:dyDescent="0.35">
      <c r="A38" s="79">
        <v>46745</v>
      </c>
    </row>
    <row r="39" spans="1:1" x14ac:dyDescent="0.35">
      <c r="A39" s="79">
        <v>46769</v>
      </c>
    </row>
    <row r="40" spans="1:1" x14ac:dyDescent="0.35">
      <c r="A40" s="79">
        <v>46804</v>
      </c>
    </row>
    <row r="41" spans="1:1" x14ac:dyDescent="0.35">
      <c r="A41" s="79">
        <v>46857</v>
      </c>
    </row>
    <row r="42" spans="1:1" x14ac:dyDescent="0.35">
      <c r="A42" s="79">
        <v>46902</v>
      </c>
    </row>
    <row r="43" spans="1:1" x14ac:dyDescent="0.35">
      <c r="A43" s="79">
        <v>46923</v>
      </c>
    </row>
    <row r="44" spans="1:1" x14ac:dyDescent="0.35">
      <c r="A44" s="79">
        <v>46938</v>
      </c>
    </row>
    <row r="45" spans="1:1" x14ac:dyDescent="0.35">
      <c r="A45" s="79">
        <v>47000</v>
      </c>
    </row>
    <row r="46" spans="1:1" x14ac:dyDescent="0.35">
      <c r="A46" s="79">
        <v>47035</v>
      </c>
    </row>
    <row r="47" spans="1:1" x14ac:dyDescent="0.35">
      <c r="A47" s="79">
        <v>47080</v>
      </c>
    </row>
    <row r="48" spans="1:1" x14ac:dyDescent="0.35">
      <c r="A48" s="79">
        <v>47112</v>
      </c>
    </row>
    <row r="49" spans="1:1" x14ac:dyDescent="0.35">
      <c r="A49" s="79">
        <v>47119</v>
      </c>
    </row>
    <row r="50" spans="1:1" x14ac:dyDescent="0.35">
      <c r="A50" s="79">
        <v>47133</v>
      </c>
    </row>
    <row r="51" spans="1:1" x14ac:dyDescent="0.35">
      <c r="A51" s="79">
        <v>47168</v>
      </c>
    </row>
    <row r="52" spans="1:1" x14ac:dyDescent="0.35">
      <c r="A52" s="79">
        <v>47207</v>
      </c>
    </row>
    <row r="53" spans="1:1" x14ac:dyDescent="0.35">
      <c r="A53" s="79">
        <v>47266</v>
      </c>
    </row>
    <row r="54" spans="1:1" x14ac:dyDescent="0.35">
      <c r="A54" s="79">
        <v>47288</v>
      </c>
    </row>
    <row r="55" spans="1:1" x14ac:dyDescent="0.35">
      <c r="A55" s="79">
        <v>47303</v>
      </c>
    </row>
    <row r="56" spans="1:1" x14ac:dyDescent="0.35">
      <c r="A56" s="79">
        <v>47364</v>
      </c>
    </row>
    <row r="57" spans="1:1" x14ac:dyDescent="0.35">
      <c r="A57" s="79">
        <v>47399</v>
      </c>
    </row>
    <row r="58" spans="1:1" x14ac:dyDescent="0.35">
      <c r="A58" s="79">
        <v>47434</v>
      </c>
    </row>
    <row r="59" spans="1:1" x14ac:dyDescent="0.35">
      <c r="A59" s="79">
        <v>47444</v>
      </c>
    </row>
    <row r="60" spans="1:1" x14ac:dyDescent="0.35">
      <c r="A60" s="79">
        <v>47477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11DE-B42B-4BB8-A3A8-319DBEBCBB54}">
  <dimension ref="A1:C13"/>
  <sheetViews>
    <sheetView workbookViewId="0">
      <selection activeCell="C27" sqref="C27"/>
    </sheetView>
  </sheetViews>
  <sheetFormatPr defaultRowHeight="14.5" x14ac:dyDescent="0.35"/>
  <cols>
    <col min="2" max="2" width="32.90625" bestFit="1" customWidth="1" collapsed="1"/>
    <col min="3" max="3" width="6.1796875" bestFit="1" customWidth="1" collapsed="1"/>
  </cols>
  <sheetData>
    <row r="1" spans="1:2" x14ac:dyDescent="0.35">
      <c r="A1" t="s">
        <v>183</v>
      </c>
      <c r="B1" t="s">
        <v>0</v>
      </c>
    </row>
    <row r="2" spans="1:2" x14ac:dyDescent="0.35">
      <c r="A2">
        <v>1</v>
      </c>
      <c r="B2" t="s">
        <v>9</v>
      </c>
    </row>
    <row r="3" spans="1:2" x14ac:dyDescent="0.35">
      <c r="A3">
        <v>1</v>
      </c>
      <c r="B3" t="s">
        <v>10</v>
      </c>
    </row>
    <row r="4" spans="1:2" x14ac:dyDescent="0.35">
      <c r="A4">
        <v>1</v>
      </c>
      <c r="B4" t="s">
        <v>162</v>
      </c>
    </row>
    <row r="5" spans="1:2" x14ac:dyDescent="0.35">
      <c r="A5">
        <v>1</v>
      </c>
      <c r="B5" t="s">
        <v>163</v>
      </c>
    </row>
    <row r="6" spans="1:2" x14ac:dyDescent="0.35">
      <c r="A6">
        <v>1</v>
      </c>
      <c r="B6" t="s">
        <v>175</v>
      </c>
    </row>
    <row r="7" spans="1:2" x14ac:dyDescent="0.35">
      <c r="A7">
        <v>1</v>
      </c>
      <c r="B7" t="s">
        <v>176</v>
      </c>
    </row>
    <row r="8" spans="1:2" x14ac:dyDescent="0.35">
      <c r="A8">
        <v>1</v>
      </c>
      <c r="B8" t="s">
        <v>177</v>
      </c>
    </row>
    <row r="9" spans="1:2" x14ac:dyDescent="0.35">
      <c r="A9">
        <v>1</v>
      </c>
      <c r="B9" t="s">
        <v>178</v>
      </c>
    </row>
    <row r="10" spans="1:2" x14ac:dyDescent="0.35">
      <c r="A10">
        <v>1</v>
      </c>
      <c r="B10" t="s">
        <v>179</v>
      </c>
    </row>
    <row r="11" spans="1:2" x14ac:dyDescent="0.35">
      <c r="A11">
        <v>1</v>
      </c>
      <c r="B11" t="s">
        <v>180</v>
      </c>
    </row>
    <row r="12" spans="1:2" x14ac:dyDescent="0.35">
      <c r="A12">
        <v>1</v>
      </c>
      <c r="B12" t="s">
        <v>181</v>
      </c>
    </row>
    <row r="13" spans="1:2" x14ac:dyDescent="0.35">
      <c r="A13">
        <v>1</v>
      </c>
      <c r="B13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6916-357D-497F-A92B-E1F6043DE334}">
  <dimension ref="A1:C15"/>
  <sheetViews>
    <sheetView tabSelected="1" workbookViewId="0">
      <selection activeCell="B15" sqref="B15"/>
    </sheetView>
  </sheetViews>
  <sheetFormatPr defaultRowHeight="14.5" x14ac:dyDescent="0.35"/>
  <cols>
    <col min="2" max="2" width="10.81640625" bestFit="1" customWidth="1"/>
    <col min="3" max="3" width="12.08984375" bestFit="1" customWidth="1"/>
  </cols>
  <sheetData>
    <row r="1" spans="1:3" x14ac:dyDescent="0.35">
      <c r="A1" t="s">
        <v>183</v>
      </c>
      <c r="B1" t="s">
        <v>184</v>
      </c>
      <c r="C1" t="s">
        <v>185</v>
      </c>
    </row>
    <row r="2" spans="1:3" x14ac:dyDescent="0.35">
      <c r="A2">
        <v>1</v>
      </c>
      <c r="B2" t="s">
        <v>10</v>
      </c>
    </row>
    <row r="3" spans="1:3" x14ac:dyDescent="0.35">
      <c r="A3">
        <v>1</v>
      </c>
      <c r="B3" t="s">
        <v>171</v>
      </c>
    </row>
    <row r="4" spans="1:3" ht="29" x14ac:dyDescent="0.35">
      <c r="A4">
        <v>1</v>
      </c>
      <c r="B4" s="1" t="s">
        <v>172</v>
      </c>
    </row>
    <row r="5" spans="1:3" x14ac:dyDescent="0.35">
      <c r="A5">
        <v>1</v>
      </c>
      <c r="B5" t="s">
        <v>173</v>
      </c>
    </row>
    <row r="6" spans="1:3" ht="43.5" x14ac:dyDescent="0.35">
      <c r="A6">
        <v>1</v>
      </c>
      <c r="B6" s="1" t="s">
        <v>174</v>
      </c>
    </row>
    <row r="7" spans="1:3" x14ac:dyDescent="0.35">
      <c r="A7">
        <v>1</v>
      </c>
      <c r="C7" t="s">
        <v>186</v>
      </c>
    </row>
    <row r="8" spans="1:3" ht="29" x14ac:dyDescent="0.35">
      <c r="A8">
        <v>1</v>
      </c>
      <c r="C8" s="1" t="s">
        <v>187</v>
      </c>
    </row>
    <row r="9" spans="1:3" ht="29" x14ac:dyDescent="0.35">
      <c r="A9">
        <v>1</v>
      </c>
      <c r="B9" t="s">
        <v>9</v>
      </c>
      <c r="C9" s="1" t="s">
        <v>188</v>
      </c>
    </row>
    <row r="10" spans="1:3" x14ac:dyDescent="0.35">
      <c r="A10">
        <v>1</v>
      </c>
      <c r="C10" t="s">
        <v>189</v>
      </c>
    </row>
    <row r="11" spans="1:3" x14ac:dyDescent="0.35">
      <c r="A11">
        <v>1</v>
      </c>
      <c r="B11" t="s">
        <v>190</v>
      </c>
      <c r="C11" t="s">
        <v>191</v>
      </c>
    </row>
    <row r="12" spans="1:3" x14ac:dyDescent="0.35">
      <c r="A12">
        <v>1</v>
      </c>
      <c r="B12" t="s">
        <v>192</v>
      </c>
      <c r="C12" t="s">
        <v>193</v>
      </c>
    </row>
    <row r="13" spans="1:3" x14ac:dyDescent="0.35">
      <c r="A13">
        <v>1</v>
      </c>
      <c r="B13" t="s">
        <v>194</v>
      </c>
      <c r="C13" t="s">
        <v>195</v>
      </c>
    </row>
    <row r="14" spans="1:3" ht="29" x14ac:dyDescent="0.35">
      <c r="A14">
        <v>1</v>
      </c>
      <c r="C14" s="1" t="s">
        <v>196</v>
      </c>
    </row>
    <row r="15" spans="1:3" ht="29" x14ac:dyDescent="0.35">
      <c r="A15">
        <v>1</v>
      </c>
      <c r="C15" s="90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C7DB-DD55-4253-B7DB-CD5ED5073822}">
  <dimension ref="A1:E5"/>
  <sheetViews>
    <sheetView workbookViewId="0">
      <selection activeCell="A5" sqref="A5"/>
    </sheetView>
  </sheetViews>
  <sheetFormatPr defaultRowHeight="14.5" x14ac:dyDescent="0.35"/>
  <cols>
    <col min="2" max="2" width="14.26953125" style="1" bestFit="1" customWidth="1" collapsed="1"/>
    <col min="3" max="3" width="17.26953125" bestFit="1" customWidth="1" collapsed="1"/>
    <col min="4" max="4" width="18.26953125" bestFit="1" customWidth="1" collapsed="1"/>
    <col min="5" max="5" width="19.7265625" bestFit="1" customWidth="1" collapsed="1"/>
  </cols>
  <sheetData>
    <row r="1" spans="1:5" x14ac:dyDescent="0.35">
      <c r="A1" t="s">
        <v>183</v>
      </c>
      <c r="B1" s="1" t="s">
        <v>2</v>
      </c>
      <c r="C1" t="s">
        <v>3</v>
      </c>
      <c r="D1" t="s">
        <v>4</v>
      </c>
      <c r="E1" t="s">
        <v>5</v>
      </c>
    </row>
    <row r="2" spans="1:5" x14ac:dyDescent="0.35">
      <c r="A2">
        <v>0</v>
      </c>
      <c r="B2" s="1" t="s">
        <v>1</v>
      </c>
      <c r="C2" t="str">
        <f>SUBSTITUTE(B2, CHAR(10), "|")</f>
        <v>/add  IBM</v>
      </c>
      <c r="D2">
        <v>1</v>
      </c>
      <c r="E2">
        <v>0</v>
      </c>
    </row>
    <row r="3" spans="1:5" ht="72.5" x14ac:dyDescent="0.35">
      <c r="A3">
        <v>1</v>
      </c>
      <c r="B3" s="1" t="s">
        <v>6</v>
      </c>
      <c r="C3" t="str">
        <f>SUBSTITUTE(B3, CHAR(10), "|")</f>
        <v>/add |IBM |MSFT|INTC|SPY</v>
      </c>
      <c r="D3">
        <v>4</v>
      </c>
      <c r="E3">
        <v>0</v>
      </c>
    </row>
    <row r="4" spans="1:5" ht="87" x14ac:dyDescent="0.35">
      <c r="A4">
        <v>0</v>
      </c>
      <c r="B4" s="1" t="s">
        <v>7</v>
      </c>
      <c r="C4" t="str">
        <f t="shared" ref="C4:C5" si="0">SUBSTITUTE(B4, CHAR(10), "|")</f>
        <v>convert 0.5% net |HOOD|TSLA|sdjfsnsj|dhfjkdsf</v>
      </c>
      <c r="D4">
        <v>2</v>
      </c>
      <c r="E4">
        <v>2</v>
      </c>
    </row>
    <row r="5" spans="1:5" ht="58" x14ac:dyDescent="0.35">
      <c r="A5">
        <v>0</v>
      </c>
      <c r="B5" s="1" t="s">
        <v>147</v>
      </c>
      <c r="C5" s="1" t="str">
        <f t="shared" si="0"/>
        <v>/add AMD Jan24 120 r/c 1.11 B to rev 1500x</v>
      </c>
      <c r="D5">
        <v>1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1063-591F-4A6C-9E1B-A4CE78C384A2}">
  <dimension ref="A1:E3"/>
  <sheetViews>
    <sheetView workbookViewId="0"/>
  </sheetViews>
  <sheetFormatPr defaultRowHeight="14.5" x14ac:dyDescent="0.35"/>
  <sheetData>
    <row r="1" spans="1:5" ht="29" x14ac:dyDescent="0.35">
      <c r="A1" t="s">
        <v>183</v>
      </c>
      <c r="B1" s="1" t="s">
        <v>2</v>
      </c>
      <c r="C1" t="s">
        <v>3</v>
      </c>
      <c r="D1" t="s">
        <v>4</v>
      </c>
      <c r="E1" t="s">
        <v>5</v>
      </c>
    </row>
    <row r="2" spans="1:5" ht="58" x14ac:dyDescent="0.35">
      <c r="A2">
        <v>1</v>
      </c>
      <c r="B2" s="1" t="s">
        <v>164</v>
      </c>
      <c r="C2" t="str">
        <f>SUBSTITUTE(B2, CHAR(10), "|")</f>
        <v>/add tsla dec8 230 - sep'25 240 jr</v>
      </c>
      <c r="D2">
        <v>1</v>
      </c>
      <c r="E2">
        <v>0</v>
      </c>
    </row>
    <row r="3" spans="1:5" ht="43.5" x14ac:dyDescent="0.35">
      <c r="A3">
        <v>1</v>
      </c>
      <c r="B3" s="1" t="s">
        <v>165</v>
      </c>
      <c r="C3" t="str">
        <f>SUBSTITUTE(B3, CHAR(10), "|")</f>
        <v>/add tsla sep'25 240</v>
      </c>
      <c r="D3">
        <v>1</v>
      </c>
      <c r="E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6757-66BA-42B4-AAAC-209FE20BEE2B}">
  <dimension ref="A1:H8"/>
  <sheetViews>
    <sheetView workbookViewId="0"/>
  </sheetViews>
  <sheetFormatPr defaultColWidth="9.1796875" defaultRowHeight="14.5" x14ac:dyDescent="0.35"/>
  <cols>
    <col min="1" max="1" width="9.1796875" style="1"/>
    <col min="2" max="2" width="14.26953125" style="1" bestFit="1" customWidth="1" collapsed="1"/>
    <col min="3" max="3" width="17.26953125" style="1" bestFit="1" customWidth="1" collapsed="1"/>
    <col min="4" max="4" width="18.26953125" style="1" bestFit="1" customWidth="1" collapsed="1"/>
    <col min="5" max="5" width="19.7265625" style="1" bestFit="1" customWidth="1" collapsed="1"/>
    <col min="6" max="7" width="9.1796875" style="1"/>
    <col min="8" max="8" width="10.7265625" style="1" bestFit="1" customWidth="1"/>
    <col min="9" max="16384" width="9.1796875" style="1"/>
  </cols>
  <sheetData>
    <row r="1" spans="1:8" ht="29" x14ac:dyDescent="0.35">
      <c r="A1" t="s">
        <v>183</v>
      </c>
      <c r="B1" s="77" t="s">
        <v>2</v>
      </c>
      <c r="C1" s="77" t="s">
        <v>3</v>
      </c>
      <c r="D1" s="77" t="s">
        <v>4</v>
      </c>
      <c r="E1" s="77" t="s">
        <v>5</v>
      </c>
      <c r="F1" s="77" t="s">
        <v>13</v>
      </c>
      <c r="G1" s="77" t="s">
        <v>0</v>
      </c>
      <c r="H1" s="77" t="s">
        <v>149</v>
      </c>
    </row>
    <row r="2" spans="1:8" ht="29" x14ac:dyDescent="0.35">
      <c r="A2" s="76">
        <v>1</v>
      </c>
      <c r="B2" s="76" t="s">
        <v>161</v>
      </c>
      <c r="C2" s="76" t="str">
        <f t="shared" ref="C2:C8" si="0">SUBSTITUTE(B2, CHAR(10), "|")</f>
        <v xml:space="preserve">/add GOOG Sep 105 </v>
      </c>
      <c r="D2" s="76">
        <v>1</v>
      </c>
      <c r="E2" s="76">
        <v>0</v>
      </c>
      <c r="F2" s="76"/>
      <c r="G2" s="76"/>
      <c r="H2" s="76"/>
    </row>
    <row r="3" spans="1:8" ht="72.5" x14ac:dyDescent="0.35">
      <c r="A3" s="76">
        <v>1</v>
      </c>
      <c r="B3" s="76" t="s">
        <v>146</v>
      </c>
      <c r="C3" s="76" t="str">
        <f t="shared" si="0"/>
        <v xml:space="preserve">/addhist|GOOG Sep 105 line 5000x traded .44 paid to rev </v>
      </c>
      <c r="D3" s="76">
        <v>1</v>
      </c>
      <c r="E3" s="76">
        <v>0</v>
      </c>
      <c r="F3" s="76">
        <v>-0.44</v>
      </c>
      <c r="G3" s="76" t="s">
        <v>148</v>
      </c>
      <c r="H3" s="76" t="s">
        <v>150</v>
      </c>
    </row>
    <row r="4" spans="1:8" ht="58" x14ac:dyDescent="0.35">
      <c r="A4" s="76">
        <v>1</v>
      </c>
      <c r="B4" s="76" t="s">
        <v>151</v>
      </c>
      <c r="C4" s="76" t="str">
        <f t="shared" si="0"/>
        <v>GOOG Sep 105 line 5000x trades .44 paid to reverse</v>
      </c>
      <c r="D4" s="76">
        <v>1</v>
      </c>
      <c r="E4" s="76">
        <v>0</v>
      </c>
      <c r="F4" s="76">
        <v>-0.44</v>
      </c>
      <c r="G4" s="76" t="s">
        <v>148</v>
      </c>
      <c r="H4" s="76" t="s">
        <v>150</v>
      </c>
    </row>
    <row r="5" spans="1:8" ht="43.5" x14ac:dyDescent="0.35">
      <c r="A5" s="76">
        <v>1</v>
      </c>
      <c r="B5" s="76" t="s">
        <v>160</v>
      </c>
      <c r="C5" s="76" t="str">
        <f t="shared" si="0"/>
        <v>SPY Sep 455 rev con paid .46 to convert 5,000x</v>
      </c>
      <c r="D5" s="76">
        <v>1</v>
      </c>
      <c r="E5" s="76">
        <v>0</v>
      </c>
      <c r="F5" s="76">
        <v>0.46</v>
      </c>
      <c r="G5" s="76" t="s">
        <v>135</v>
      </c>
      <c r="H5" s="76" t="s">
        <v>152</v>
      </c>
    </row>
    <row r="6" spans="1:8" ht="72.5" x14ac:dyDescent="0.35">
      <c r="A6" s="76">
        <v>1</v>
      </c>
      <c r="B6" s="76" t="s">
        <v>153</v>
      </c>
      <c r="C6" s="76" t="str">
        <f t="shared" si="0"/>
        <v>QQQ Sep 350 rev con collected 1.36 to convert 2,000x</v>
      </c>
      <c r="D6" s="76">
        <v>1</v>
      </c>
      <c r="E6" s="76">
        <v>0</v>
      </c>
      <c r="F6" s="76">
        <v>-1.36</v>
      </c>
      <c r="G6" s="76" t="s">
        <v>154</v>
      </c>
      <c r="H6" s="76" t="s">
        <v>155</v>
      </c>
    </row>
    <row r="7" spans="1:8" ht="43.5" x14ac:dyDescent="0.35">
      <c r="A7" s="76">
        <v>1</v>
      </c>
      <c r="B7" s="76" t="s">
        <v>156</v>
      </c>
      <c r="C7" s="76" t="str">
        <f t="shared" si="0"/>
        <v>EEM Sep 34 line paid 0.15 to reverse 14k</v>
      </c>
      <c r="D7" s="76">
        <v>1</v>
      </c>
      <c r="E7" s="76">
        <v>0</v>
      </c>
      <c r="F7" s="76">
        <v>-0.15</v>
      </c>
      <c r="G7" s="76" t="s">
        <v>157</v>
      </c>
      <c r="H7" s="78">
        <v>12663</v>
      </c>
    </row>
    <row r="8" spans="1:8" ht="58" x14ac:dyDescent="0.35">
      <c r="A8" s="76">
        <v>1</v>
      </c>
      <c r="B8" s="76" t="s">
        <v>159</v>
      </c>
      <c r="C8" s="76" t="str">
        <f t="shared" si="0"/>
        <v xml:space="preserve">EFA Sep 65 line 15,500x traded .275 collected to reverse	</v>
      </c>
      <c r="D8" s="76">
        <v>1</v>
      </c>
      <c r="E8" s="76">
        <v>0</v>
      </c>
      <c r="F8" s="76">
        <v>0.27500000000000002</v>
      </c>
      <c r="G8" s="76" t="s">
        <v>158</v>
      </c>
      <c r="H8" s="78">
        <v>23986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F479-FA2C-489D-859F-F77089D48D16}">
  <dimension ref="A1:F7"/>
  <sheetViews>
    <sheetView workbookViewId="0">
      <selection activeCell="B1" sqref="B1"/>
    </sheetView>
  </sheetViews>
  <sheetFormatPr defaultRowHeight="14.5" x14ac:dyDescent="0.35"/>
  <cols>
    <col min="2" max="2" width="8.81640625" bestFit="1" customWidth="1"/>
    <col min="3" max="3" width="44.81640625" style="1" bestFit="1" customWidth="1"/>
    <col min="4" max="4" width="18.26953125" bestFit="1" customWidth="1"/>
    <col min="5" max="5" width="19.7265625" bestFit="1" customWidth="1"/>
    <col min="6" max="6" width="4.453125" bestFit="1" customWidth="1"/>
  </cols>
  <sheetData>
    <row r="1" spans="1:6" ht="29" x14ac:dyDescent="0.35">
      <c r="A1" t="s">
        <v>183</v>
      </c>
      <c r="B1" s="1" t="s">
        <v>2</v>
      </c>
      <c r="C1" s="1" t="s">
        <v>3</v>
      </c>
      <c r="D1" t="s">
        <v>4</v>
      </c>
      <c r="E1" t="s">
        <v>5</v>
      </c>
      <c r="F1" t="s">
        <v>18</v>
      </c>
    </row>
    <row r="2" spans="1:6" ht="72.5" x14ac:dyDescent="0.35">
      <c r="A2">
        <v>1</v>
      </c>
      <c r="B2" s="1" t="s">
        <v>167</v>
      </c>
      <c r="C2" s="1" t="str">
        <f t="shared" ref="C2:C6" si="0">SUBSTITUTE(B2, CHAR(10), "|")</f>
        <v>/add  BRK/B Nov 121.5 euroflex</v>
      </c>
      <c r="D2">
        <v>1</v>
      </c>
      <c r="E2">
        <v>0</v>
      </c>
      <c r="F2">
        <v>1</v>
      </c>
    </row>
    <row r="3" spans="1:6" ht="58" x14ac:dyDescent="0.35">
      <c r="A3">
        <v>1</v>
      </c>
      <c r="B3" s="1" t="s">
        <v>144</v>
      </c>
      <c r="C3" s="1" t="str">
        <f t="shared" si="0"/>
        <v>/add  IBM Nov 121.5 euroflex</v>
      </c>
      <c r="D3">
        <v>1</v>
      </c>
      <c r="E3">
        <v>0</v>
      </c>
      <c r="F3">
        <v>1</v>
      </c>
    </row>
    <row r="4" spans="1:6" ht="58" x14ac:dyDescent="0.35">
      <c r="A4">
        <v>1</v>
      </c>
      <c r="B4" s="1" t="s">
        <v>145</v>
      </c>
      <c r="C4" s="1" t="str">
        <f t="shared" si="0"/>
        <v>/add  IBM Nov 121.5 euro</v>
      </c>
      <c r="D4">
        <v>1</v>
      </c>
      <c r="E4">
        <v>0</v>
      </c>
      <c r="F4">
        <v>1</v>
      </c>
    </row>
    <row r="5" spans="1:6" ht="72.5" x14ac:dyDescent="0.35">
      <c r="A5">
        <v>1</v>
      </c>
      <c r="B5" s="1" t="s">
        <v>166</v>
      </c>
      <c r="C5" s="1" t="str">
        <f t="shared" si="0"/>
        <v>/add  IBM Nov - Dec 121.5 jr euro</v>
      </c>
      <c r="D5">
        <v>1</v>
      </c>
      <c r="E5">
        <v>0</v>
      </c>
      <c r="F5">
        <v>1</v>
      </c>
    </row>
    <row r="6" spans="1:6" ht="145" x14ac:dyDescent="0.35">
      <c r="A6">
        <v>1</v>
      </c>
      <c r="B6" s="1" t="s">
        <v>168</v>
      </c>
      <c r="C6" s="1" t="str">
        <f t="shared" si="0"/>
        <v>/add NVDA Nov 140 Euroflex RevCon 9000x traded 0.545 paid to reverse</v>
      </c>
      <c r="D6">
        <v>1</v>
      </c>
      <c r="E6">
        <v>0</v>
      </c>
      <c r="F6">
        <v>1</v>
      </c>
    </row>
    <row r="7" spans="1:6" ht="130.5" x14ac:dyDescent="0.35">
      <c r="A7">
        <v>1</v>
      </c>
      <c r="B7" s="1" t="s">
        <v>169</v>
      </c>
      <c r="C7" s="1" t="str">
        <f>SUBSTITUTE(B7, CHAR(10), "|")</f>
        <v>/add JNJ today 165 ef strike 0.5b - looking to reverse 168x</v>
      </c>
      <c r="D7">
        <v>1</v>
      </c>
      <c r="E7">
        <v>0</v>
      </c>
      <c r="F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0830-B514-425A-8B2C-D956D0DAA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23B5-7F0A-4BF8-91A2-CA52E9B2E61C}">
  <dimension ref="A1:AE24"/>
  <sheetViews>
    <sheetView workbookViewId="0">
      <selection activeCell="A9" sqref="A9"/>
    </sheetView>
  </sheetViews>
  <sheetFormatPr defaultRowHeight="14.5" x14ac:dyDescent="0.35"/>
  <cols>
    <col min="1" max="1" width="10" bestFit="1" customWidth="1" collapsed="1"/>
    <col min="2" max="2" width="6.26953125" bestFit="1" customWidth="1" collapsed="1"/>
    <col min="3" max="3" width="11" bestFit="1" customWidth="1" collapsed="1"/>
    <col min="4" max="4" width="7.1796875" bestFit="1" customWidth="1" collapsed="1"/>
    <col min="5" max="5" width="8.453125" style="2" bestFit="1" customWidth="1" collapsed="1"/>
    <col min="6" max="6" width="11" bestFit="1" customWidth="1" collapsed="1"/>
    <col min="7" max="7" width="7.1796875" bestFit="1" customWidth="1" collapsed="1"/>
    <col min="8" max="8" width="9" bestFit="1" customWidth="1" collapsed="1"/>
    <col min="9" max="10" width="12.7265625" bestFit="1" customWidth="1" collapsed="1"/>
    <col min="11" max="11" width="9.54296875" bestFit="1" customWidth="1" collapsed="1"/>
    <col min="13" max="13" width="14.81640625" style="1" customWidth="1" collapsed="1"/>
    <col min="14" max="14" width="14.1796875" style="1" customWidth="1" collapsed="1"/>
    <col min="15" max="18" width="10.7265625" bestFit="1" customWidth="1" collapsed="1"/>
    <col min="29" max="31" width="10.7265625" bestFit="1" customWidth="1" collapsed="1"/>
  </cols>
  <sheetData>
    <row r="1" spans="1:31" x14ac:dyDescent="0.35">
      <c r="A1" t="s">
        <v>183</v>
      </c>
      <c r="B1" t="s">
        <v>0</v>
      </c>
      <c r="C1" t="s">
        <v>85</v>
      </c>
      <c r="D1" t="s">
        <v>86</v>
      </c>
      <c r="E1" s="2" t="s">
        <v>12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84</v>
      </c>
      <c r="M1" t="s">
        <v>23</v>
      </c>
      <c r="N1" t="s">
        <v>24</v>
      </c>
      <c r="AC1" t="s">
        <v>113</v>
      </c>
    </row>
    <row r="2" spans="1:31" x14ac:dyDescent="0.35">
      <c r="A2" s="74">
        <v>1</v>
      </c>
      <c r="B2" t="s">
        <v>92</v>
      </c>
      <c r="C2" s="24">
        <v>45247</v>
      </c>
      <c r="D2">
        <v>80</v>
      </c>
      <c r="E2" s="2" t="s">
        <v>118</v>
      </c>
      <c r="H2">
        <v>1.8633</v>
      </c>
      <c r="K2">
        <v>1</v>
      </c>
      <c r="M2" t="str">
        <f>_xll.BDP(B2&amp;" Equity",$M$1)</f>
        <v>USD</v>
      </c>
      <c r="N2">
        <f>IF(M2="USD",1,_xll.BDP(M2&amp;" Curncy", "PX_LAST"))</f>
        <v>1</v>
      </c>
      <c r="O2" s="24"/>
      <c r="P2" s="24"/>
      <c r="Q2" s="24"/>
      <c r="R2" s="24"/>
      <c r="AC2" s="24"/>
      <c r="AD2" s="24"/>
      <c r="AE2" s="24"/>
    </row>
    <row r="3" spans="1:31" x14ac:dyDescent="0.35">
      <c r="A3">
        <v>1</v>
      </c>
      <c r="B3" t="s">
        <v>93</v>
      </c>
      <c r="C3" s="24">
        <v>45247</v>
      </c>
      <c r="D3">
        <v>31</v>
      </c>
      <c r="E3" s="2" t="s">
        <v>129</v>
      </c>
      <c r="H3">
        <v>1.8633</v>
      </c>
      <c r="K3">
        <v>1</v>
      </c>
      <c r="M3" t="str">
        <f>_xll.BDP(B3&amp;" Equity",$M$1)</f>
        <v>USD</v>
      </c>
      <c r="N3">
        <f>IF(M3="USD",1,_xll.BDP(M3&amp;" Curncy", "PX_LAST"))</f>
        <v>1</v>
      </c>
      <c r="O3" s="24"/>
      <c r="P3" s="24"/>
      <c r="Q3" s="24"/>
      <c r="R3" s="24"/>
      <c r="AC3" s="24"/>
      <c r="AD3" s="24"/>
      <c r="AE3" s="24"/>
    </row>
    <row r="4" spans="1:31" x14ac:dyDescent="0.35">
      <c r="A4">
        <v>1</v>
      </c>
      <c r="B4" t="s">
        <v>94</v>
      </c>
      <c r="C4" s="24">
        <v>45247</v>
      </c>
      <c r="D4">
        <v>50</v>
      </c>
      <c r="E4" s="2" t="s">
        <v>130</v>
      </c>
      <c r="H4">
        <v>1.8633</v>
      </c>
      <c r="K4">
        <v>1</v>
      </c>
      <c r="M4" t="str">
        <f>_xll.BDP(B4&amp;" Equity",$M$1)</f>
        <v>#N/A Field Not Applicable</v>
      </c>
      <c r="N4" t="str">
        <f>IF(M4="USD",1,_xll.BDP(M4&amp;" Curncy", "PX_LAST"))</f>
        <v>#N/A Field Not Applicable Curncy</v>
      </c>
      <c r="O4" s="24"/>
      <c r="P4" s="24"/>
      <c r="Q4" s="24"/>
      <c r="R4" s="24"/>
      <c r="AC4" s="24"/>
      <c r="AD4" s="24"/>
      <c r="AE4" s="24"/>
    </row>
    <row r="5" spans="1:31" x14ac:dyDescent="0.35">
      <c r="A5">
        <v>1</v>
      </c>
      <c r="B5" t="s">
        <v>95</v>
      </c>
      <c r="C5" s="24">
        <v>45247</v>
      </c>
      <c r="D5">
        <v>27.5</v>
      </c>
      <c r="E5" s="2" t="s">
        <v>115</v>
      </c>
      <c r="H5">
        <v>1.8633</v>
      </c>
      <c r="K5">
        <v>1</v>
      </c>
      <c r="M5" t="str">
        <f>_xll.BDP(B5&amp;" Equity",$M$1)</f>
        <v>USD</v>
      </c>
      <c r="N5">
        <f>IF(M5="USD",1,_xll.BDP(M5&amp;" Curncy", "PX_LAST"))</f>
        <v>1</v>
      </c>
      <c r="O5" s="24"/>
      <c r="P5" s="24"/>
      <c r="Q5" s="24"/>
      <c r="R5" s="24"/>
      <c r="AC5" s="24"/>
      <c r="AD5" s="24"/>
      <c r="AE5" s="24"/>
    </row>
    <row r="6" spans="1:31" x14ac:dyDescent="0.35">
      <c r="A6">
        <v>1</v>
      </c>
      <c r="B6" t="s">
        <v>96</v>
      </c>
      <c r="C6" s="24">
        <v>45247</v>
      </c>
      <c r="D6">
        <v>305</v>
      </c>
      <c r="E6" s="2" t="s">
        <v>116</v>
      </c>
      <c r="H6">
        <v>1.8633</v>
      </c>
      <c r="K6">
        <v>1</v>
      </c>
      <c r="M6" t="str">
        <f>_xll.BDP(B6&amp;" Equity",$M$1)</f>
        <v>USD</v>
      </c>
      <c r="N6">
        <f>IF(M6="USD",1,_xll.BDP(M6&amp;" Curncy", "PX_LAST"))</f>
        <v>1</v>
      </c>
      <c r="O6" s="24"/>
      <c r="P6" s="24"/>
      <c r="Q6" s="24"/>
      <c r="R6" s="24"/>
      <c r="AC6" s="24"/>
      <c r="AD6" s="24"/>
      <c r="AE6" s="24"/>
    </row>
    <row r="7" spans="1:31" x14ac:dyDescent="0.35">
      <c r="A7">
        <v>0</v>
      </c>
      <c r="B7" t="s">
        <v>97</v>
      </c>
      <c r="C7" s="24">
        <v>45247</v>
      </c>
      <c r="D7">
        <v>45</v>
      </c>
      <c r="E7" s="2" t="s">
        <v>123</v>
      </c>
      <c r="K7">
        <v>1</v>
      </c>
      <c r="M7" t="str">
        <f>_xll.BDP(B7&amp;" Equity",$M$1)</f>
        <v>#N/A N/A</v>
      </c>
      <c r="N7" t="str">
        <f>IF(M7="USD",1,_xll.BDP(M7&amp;" Curncy", "PX_LAST"))</f>
        <v>#N/A N/A Curncy</v>
      </c>
      <c r="O7" s="24"/>
      <c r="P7" s="24"/>
      <c r="Q7" s="24"/>
      <c r="R7" s="24"/>
      <c r="AC7" s="24"/>
      <c r="AD7" s="24"/>
      <c r="AE7" s="24"/>
    </row>
    <row r="8" spans="1:31" x14ac:dyDescent="0.35">
      <c r="A8">
        <v>0</v>
      </c>
      <c r="B8" t="s">
        <v>98</v>
      </c>
      <c r="C8" s="24">
        <v>45247</v>
      </c>
      <c r="D8">
        <v>60</v>
      </c>
      <c r="E8" s="2" t="s">
        <v>131</v>
      </c>
      <c r="K8">
        <v>1</v>
      </c>
      <c r="M8" t="str">
        <f>_xll.BDP(B8&amp;" Equity",$M$1)</f>
        <v>USD</v>
      </c>
      <c r="N8">
        <f>IF(M8="USD",1,_xll.BDP(M8&amp;" Curncy", "PX_LAST"))</f>
        <v>1</v>
      </c>
      <c r="O8" s="24"/>
      <c r="P8" s="24"/>
      <c r="Q8" s="24"/>
      <c r="R8" s="24"/>
      <c r="AC8" s="24"/>
      <c r="AD8" s="24"/>
      <c r="AE8" s="24"/>
    </row>
    <row r="9" spans="1:31" x14ac:dyDescent="0.35">
      <c r="A9">
        <v>0</v>
      </c>
      <c r="B9" t="s">
        <v>99</v>
      </c>
      <c r="C9" s="24">
        <v>45247</v>
      </c>
      <c r="D9">
        <v>8</v>
      </c>
      <c r="E9" s="2" t="s">
        <v>118</v>
      </c>
      <c r="K9">
        <v>1</v>
      </c>
      <c r="M9" t="str">
        <f>_xll.BDP(B9&amp;" Equity",$M$1)</f>
        <v>#N/A N/A</v>
      </c>
      <c r="N9" t="str">
        <f>IF(M9="USD",1,_xll.BDP(M9&amp;" Curncy", "PX_LAST"))</f>
        <v>#N/A N/A Curncy</v>
      </c>
      <c r="O9" s="24"/>
      <c r="P9" s="24"/>
      <c r="Q9" s="24"/>
      <c r="R9" s="24"/>
      <c r="AC9" s="24"/>
      <c r="AD9" s="24"/>
      <c r="AE9" s="24"/>
    </row>
    <row r="10" spans="1:31" x14ac:dyDescent="0.35">
      <c r="A10">
        <v>0</v>
      </c>
      <c r="B10" t="s">
        <v>100</v>
      </c>
      <c r="C10" s="24">
        <v>45247</v>
      </c>
      <c r="D10">
        <v>375</v>
      </c>
      <c r="E10" s="2" t="s">
        <v>117</v>
      </c>
      <c r="K10">
        <v>1</v>
      </c>
      <c r="M10" t="str">
        <f>_xll.BDP(B10&amp;" Equity",$M$1)</f>
        <v>#N/A Field Not Applicable</v>
      </c>
      <c r="N10" t="str">
        <f>IF(M10="USD",1,_xll.BDP(M10&amp;" Curncy", "PX_LAST"))</f>
        <v>#N/A Field Not Applicable Curncy</v>
      </c>
      <c r="O10" s="24"/>
      <c r="P10" s="24"/>
      <c r="Q10" s="24"/>
      <c r="R10" s="24"/>
      <c r="AC10" s="24"/>
      <c r="AD10" s="24"/>
      <c r="AE10" s="24"/>
    </row>
    <row r="11" spans="1:31" x14ac:dyDescent="0.35">
      <c r="A11">
        <v>0</v>
      </c>
      <c r="B11" t="s">
        <v>101</v>
      </c>
      <c r="C11" s="24">
        <v>45247</v>
      </c>
      <c r="D11">
        <v>42.5</v>
      </c>
      <c r="E11" s="2" t="s">
        <v>119</v>
      </c>
      <c r="K11">
        <v>1</v>
      </c>
      <c r="M11" t="str">
        <f>_xll.BDP(B11&amp;" Equity",$M$1)</f>
        <v>#N/A N/A</v>
      </c>
      <c r="N11" t="str">
        <f>IF(M11="USD",1,_xll.BDP(M11&amp;" Curncy", "PX_LAST"))</f>
        <v>#N/A N/A Curncy</v>
      </c>
      <c r="O11" s="24"/>
      <c r="P11" s="24"/>
      <c r="Q11" s="24"/>
      <c r="R11" s="24"/>
      <c r="AC11" s="24"/>
      <c r="AD11" s="24"/>
      <c r="AE11" s="24"/>
    </row>
    <row r="12" spans="1:31" x14ac:dyDescent="0.35">
      <c r="A12">
        <v>0</v>
      </c>
      <c r="B12" t="s">
        <v>102</v>
      </c>
      <c r="C12" s="24">
        <v>45247</v>
      </c>
      <c r="D12">
        <v>240</v>
      </c>
      <c r="E12" s="2" t="s">
        <v>120</v>
      </c>
      <c r="K12">
        <v>1</v>
      </c>
      <c r="M12" t="str">
        <f>_xll.BDP(B12&amp;" Equity",$M$1)</f>
        <v>#N/A Field Not Applicable</v>
      </c>
      <c r="N12" t="str">
        <f>IF(M12="USD",1,_xll.BDP(M12&amp;" Curncy", "PX_LAST"))</f>
        <v>#N/A Field Not Applicable Curncy</v>
      </c>
      <c r="O12" s="24"/>
      <c r="P12" s="24"/>
      <c r="Q12" s="24"/>
      <c r="R12" s="24"/>
      <c r="AC12" s="24"/>
      <c r="AD12" s="24"/>
      <c r="AE12" s="24"/>
    </row>
    <row r="13" spans="1:31" x14ac:dyDescent="0.35">
      <c r="A13">
        <v>0</v>
      </c>
      <c r="B13" t="s">
        <v>103</v>
      </c>
      <c r="C13" s="24">
        <v>45247</v>
      </c>
      <c r="D13">
        <v>100</v>
      </c>
      <c r="E13" s="2" t="s">
        <v>121</v>
      </c>
      <c r="K13">
        <v>1</v>
      </c>
      <c r="M13" t="str">
        <f>_xll.BDP(B13&amp;" Equity",$M$1)</f>
        <v>USD</v>
      </c>
      <c r="N13">
        <f>IF(M13="USD",1,_xll.BDP(M13&amp;" Curncy", "PX_LAST"))</f>
        <v>1</v>
      </c>
      <c r="O13" s="24"/>
      <c r="P13" s="24"/>
      <c r="Q13" s="24"/>
      <c r="R13" s="24"/>
      <c r="AC13" s="24"/>
      <c r="AD13" s="24"/>
      <c r="AE13" s="24"/>
    </row>
    <row r="14" spans="1:31" x14ac:dyDescent="0.35">
      <c r="A14">
        <v>0</v>
      </c>
      <c r="B14" t="s">
        <v>104</v>
      </c>
      <c r="C14" s="24">
        <v>45247</v>
      </c>
      <c r="D14">
        <v>110</v>
      </c>
      <c r="E14" s="2" t="s">
        <v>122</v>
      </c>
      <c r="K14">
        <v>1</v>
      </c>
      <c r="M14" t="str">
        <f>_xll.BDP(B14&amp;" Equity",$M$1)</f>
        <v>USD</v>
      </c>
      <c r="N14">
        <f>IF(M14="USD",1,_xll.BDP(M14&amp;" Curncy", "PX_LAST"))</f>
        <v>1</v>
      </c>
      <c r="O14" s="24"/>
      <c r="P14" s="24"/>
      <c r="Q14" s="24"/>
      <c r="R14" s="24"/>
      <c r="AC14" s="24"/>
      <c r="AD14" s="24"/>
      <c r="AE14" s="24"/>
    </row>
    <row r="15" spans="1:31" x14ac:dyDescent="0.35">
      <c r="A15">
        <v>0</v>
      </c>
      <c r="B15" t="s">
        <v>97</v>
      </c>
      <c r="C15" s="24">
        <v>45247</v>
      </c>
      <c r="D15">
        <v>45</v>
      </c>
      <c r="E15" s="2" t="s">
        <v>123</v>
      </c>
      <c r="K15">
        <v>1</v>
      </c>
      <c r="M15" t="str">
        <f>_xll.BDP(B15&amp;" Equity",$M$1)</f>
        <v>#N/A N/A</v>
      </c>
      <c r="N15" t="str">
        <f>IF(M15="USD",1,_xll.BDP(M15&amp;" Curncy", "PX_LAST"))</f>
        <v>#N/A N/A Curncy</v>
      </c>
      <c r="O15" s="24"/>
      <c r="P15" s="24"/>
      <c r="Q15" s="24"/>
      <c r="R15" s="24"/>
      <c r="AC15" s="24"/>
      <c r="AD15" s="24"/>
      <c r="AE15" s="24"/>
    </row>
    <row r="16" spans="1:31" x14ac:dyDescent="0.35">
      <c r="A16">
        <v>0</v>
      </c>
      <c r="B16" t="s">
        <v>105</v>
      </c>
      <c r="C16" s="24">
        <v>45247</v>
      </c>
      <c r="D16">
        <v>14</v>
      </c>
      <c r="E16" s="2" t="s">
        <v>124</v>
      </c>
      <c r="K16">
        <v>1</v>
      </c>
      <c r="M16" t="str">
        <f>_xll.BDP(B16&amp;" Equity",$M$1)</f>
        <v>USD</v>
      </c>
      <c r="N16">
        <f>IF(M16="USD",1,_xll.BDP(M16&amp;" Curncy", "PX_LAST"))</f>
        <v>1</v>
      </c>
      <c r="O16" s="24"/>
      <c r="P16" s="24"/>
      <c r="Q16" s="24"/>
      <c r="R16" s="24"/>
      <c r="AC16" s="24"/>
      <c r="AD16" s="24"/>
      <c r="AE16" s="24"/>
    </row>
    <row r="17" spans="1:31" x14ac:dyDescent="0.35">
      <c r="A17">
        <v>0</v>
      </c>
      <c r="B17" t="s">
        <v>106</v>
      </c>
      <c r="C17" s="24">
        <v>45247</v>
      </c>
      <c r="D17">
        <v>37.5</v>
      </c>
      <c r="E17" s="2" t="s">
        <v>125</v>
      </c>
      <c r="K17">
        <v>1</v>
      </c>
      <c r="M17" t="str">
        <f>_xll.BDP(B17&amp;" Equity",$M$1)</f>
        <v>USD</v>
      </c>
      <c r="N17">
        <f>IF(M17="USD",1,_xll.BDP(M17&amp;" Curncy", "PX_LAST"))</f>
        <v>1</v>
      </c>
      <c r="O17" s="24"/>
      <c r="P17" s="24"/>
      <c r="Q17" s="24"/>
      <c r="R17" s="24"/>
      <c r="AC17" s="24"/>
      <c r="AD17" s="24"/>
      <c r="AE17" s="24"/>
    </row>
    <row r="18" spans="1:31" x14ac:dyDescent="0.35">
      <c r="A18">
        <v>0</v>
      </c>
      <c r="B18" t="s">
        <v>107</v>
      </c>
      <c r="C18" s="24">
        <v>45247</v>
      </c>
      <c r="D18">
        <v>39</v>
      </c>
      <c r="E18" s="2" t="s">
        <v>126</v>
      </c>
      <c r="K18">
        <v>1</v>
      </c>
      <c r="M18" t="str">
        <f>_xll.BDP(B18&amp;" Equity",$M$1)</f>
        <v>USD</v>
      </c>
      <c r="N18">
        <f>IF(M18="USD",1,_xll.BDP(M18&amp;" Curncy", "PX_LAST"))</f>
        <v>1</v>
      </c>
      <c r="O18" s="24"/>
      <c r="P18" s="24"/>
      <c r="Q18" s="24"/>
      <c r="R18" s="24"/>
      <c r="AC18" s="24"/>
      <c r="AD18" s="24"/>
      <c r="AE18" s="24"/>
    </row>
    <row r="19" spans="1:31" x14ac:dyDescent="0.35">
      <c r="A19">
        <v>0</v>
      </c>
      <c r="B19" t="s">
        <v>108</v>
      </c>
      <c r="C19" s="24">
        <v>45247</v>
      </c>
      <c r="D19">
        <v>67.5</v>
      </c>
      <c r="E19" s="2" t="s">
        <v>127</v>
      </c>
      <c r="K19">
        <v>1</v>
      </c>
      <c r="M19" t="str">
        <f>_xll.BDP(B19&amp;" Equity",$M$1)</f>
        <v>USD</v>
      </c>
      <c r="N19">
        <f>IF(M19="USD",1,_xll.BDP(M19&amp;" Curncy", "PX_LAST"))</f>
        <v>1</v>
      </c>
      <c r="O19" s="24"/>
      <c r="P19" s="24"/>
      <c r="Q19" s="24"/>
      <c r="R19" s="24"/>
      <c r="AC19" s="24"/>
      <c r="AD19" s="24"/>
      <c r="AE19" s="24"/>
    </row>
    <row r="20" spans="1:31" x14ac:dyDescent="0.35">
      <c r="A20">
        <v>0</v>
      </c>
      <c r="B20" t="s">
        <v>109</v>
      </c>
      <c r="C20" s="24">
        <v>45247</v>
      </c>
      <c r="D20">
        <v>500</v>
      </c>
      <c r="E20" s="2" t="s">
        <v>128</v>
      </c>
      <c r="K20">
        <v>1</v>
      </c>
      <c r="M20" t="str">
        <f>_xll.BDP(B20&amp;" Equity",$M$1)</f>
        <v>USD</v>
      </c>
      <c r="N20">
        <f>IF(M20="USD",1,_xll.BDP(M20&amp;" Curncy", "PX_LAST"))</f>
        <v>1</v>
      </c>
      <c r="O20" s="24"/>
      <c r="P20" s="24"/>
      <c r="Q20" s="24"/>
      <c r="R20" s="24"/>
      <c r="AC20" s="24"/>
      <c r="AD20" s="24"/>
      <c r="AE20" s="24"/>
    </row>
    <row r="21" spans="1:31" x14ac:dyDescent="0.35">
      <c r="A21">
        <v>0</v>
      </c>
      <c r="B21" t="s">
        <v>110</v>
      </c>
      <c r="C21" s="24">
        <v>45247</v>
      </c>
      <c r="D21">
        <v>115</v>
      </c>
      <c r="E21" s="2" t="s">
        <v>132</v>
      </c>
      <c r="K21">
        <v>1</v>
      </c>
      <c r="M21" t="str">
        <f>_xll.BDP(B21&amp;" Equity",$M$1)</f>
        <v>USD</v>
      </c>
      <c r="N21">
        <f>IF(M21="USD",1,_xll.BDP(M21&amp;" Curncy", "PX_LAST"))</f>
        <v>1</v>
      </c>
      <c r="O21" s="24"/>
      <c r="P21" s="24"/>
      <c r="Q21" s="24"/>
      <c r="R21" s="24"/>
      <c r="AC21" s="24"/>
      <c r="AD21" s="24"/>
      <c r="AE21" s="24"/>
    </row>
    <row r="22" spans="1:31" x14ac:dyDescent="0.35">
      <c r="A22">
        <v>0</v>
      </c>
      <c r="B22" t="s">
        <v>111</v>
      </c>
      <c r="C22" s="24">
        <v>45247</v>
      </c>
      <c r="D22">
        <v>105</v>
      </c>
      <c r="E22" s="2" t="s">
        <v>133</v>
      </c>
      <c r="K22">
        <v>1</v>
      </c>
      <c r="M22" t="str">
        <f>_xll.BDP(B22&amp;" Equity",$M$1)</f>
        <v>USD</v>
      </c>
      <c r="N22">
        <f>IF(M22="USD",1,_xll.BDP(M22&amp;" Curncy", "PX_LAST"))</f>
        <v>1</v>
      </c>
      <c r="P22" s="24"/>
      <c r="Q22" s="24"/>
      <c r="R22" s="24"/>
      <c r="AC22" s="24"/>
      <c r="AD22" s="24"/>
      <c r="AE22" s="24"/>
    </row>
    <row r="23" spans="1:31" x14ac:dyDescent="0.35">
      <c r="A23">
        <v>0</v>
      </c>
      <c r="B23" t="s">
        <v>112</v>
      </c>
      <c r="C23" s="24">
        <v>45275</v>
      </c>
      <c r="D23">
        <v>50</v>
      </c>
      <c r="E23" s="2" t="s">
        <v>130</v>
      </c>
      <c r="K23">
        <v>1</v>
      </c>
      <c r="M23" t="str">
        <f>_xll.BDP(B23&amp;" Equity",$M$1)</f>
        <v>CAD</v>
      </c>
      <c r="N23">
        <f>IF(M23="USD",1,_xll.BDP(M23&amp;" Curncy", "PX_LAST"))</f>
        <v>1.3902000000000001</v>
      </c>
      <c r="P23" s="24"/>
      <c r="Q23" s="24"/>
      <c r="R23" s="24"/>
      <c r="AC23" s="24"/>
      <c r="AD23" s="24"/>
      <c r="AE23" s="24"/>
    </row>
    <row r="24" spans="1:31" x14ac:dyDescent="0.35">
      <c r="A24">
        <v>1</v>
      </c>
      <c r="B24" t="s">
        <v>135</v>
      </c>
      <c r="C24" s="24">
        <v>45275</v>
      </c>
      <c r="D24">
        <v>440</v>
      </c>
      <c r="E24" s="2" t="s">
        <v>134</v>
      </c>
      <c r="H24">
        <v>1.8633</v>
      </c>
      <c r="K24">
        <v>1</v>
      </c>
      <c r="M24" t="str">
        <f>_xll.BDP(B24&amp;" Equity",$M$1)</f>
        <v>USD</v>
      </c>
      <c r="N24">
        <f>IF(M24="USD",1,_xll.BDP(M24&amp;" Curncy", "PX_LAST"))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FFD9-B3F8-4F23-B8AE-EEEC13EDDAB8}">
  <dimension ref="A1:AI198"/>
  <sheetViews>
    <sheetView workbookViewId="0">
      <selection activeCell="G12" sqref="G12"/>
    </sheetView>
  </sheetViews>
  <sheetFormatPr defaultRowHeight="14.5" x14ac:dyDescent="0.35"/>
  <cols>
    <col min="1" max="1" width="17.7265625" bestFit="1" customWidth="1" collapsed="1"/>
    <col min="2" max="2" width="13.1796875" customWidth="1" collapsed="1"/>
    <col min="5" max="5" width="12.7265625" customWidth="1" collapsed="1"/>
    <col min="6" max="6" width="11.81640625" customWidth="1" collapsed="1"/>
    <col min="7" max="7" width="11.81640625" bestFit="1" customWidth="1" collapsed="1"/>
    <col min="17" max="17" width="11.1796875" customWidth="1" collapsed="1"/>
    <col min="18" max="18" width="10.453125" customWidth="1" collapsed="1"/>
    <col min="26" max="26" width="11.1796875" bestFit="1" customWidth="1" collapsed="1"/>
    <col min="27" max="29" width="10.7265625" bestFit="1" customWidth="1" collapsed="1"/>
    <col min="30" max="30" width="10.81640625" bestFit="1" customWidth="1" collapsed="1"/>
    <col min="31" max="31" width="9.54296875" bestFit="1" customWidth="1" collapsed="1"/>
    <col min="32" max="32" width="13.1796875" bestFit="1" customWidth="1" collapsed="1"/>
  </cols>
  <sheetData>
    <row r="1" spans="1:35" ht="15" thickBot="1" x14ac:dyDescent="0.4">
      <c r="A1" t="s">
        <v>19</v>
      </c>
      <c r="B1" s="3"/>
    </row>
    <row r="2" spans="1:35" ht="15" thickBot="1" x14ac:dyDescent="0.4">
      <c r="A2" t="s">
        <v>20</v>
      </c>
      <c r="B2" s="2" t="s">
        <v>135</v>
      </c>
      <c r="C2">
        <f ca="1">R49</f>
        <v>0</v>
      </c>
      <c r="F2" s="4" t="s">
        <v>21</v>
      </c>
      <c r="G2" s="4" t="s">
        <v>21</v>
      </c>
      <c r="H2" s="5"/>
    </row>
    <row r="3" spans="1:35" ht="15" thickBot="1" x14ac:dyDescent="0.4">
      <c r="A3" t="s">
        <v>22</v>
      </c>
      <c r="B3" s="24">
        <v>45275</v>
      </c>
      <c r="F3" s="4" t="s">
        <v>23</v>
      </c>
      <c r="G3" s="4" t="s">
        <v>24</v>
      </c>
      <c r="H3" s="5"/>
    </row>
    <row r="4" spans="1:35" ht="15" thickBot="1" x14ac:dyDescent="0.4">
      <c r="A4" t="s">
        <v>25</v>
      </c>
      <c r="B4" s="75">
        <v>440</v>
      </c>
      <c r="C4">
        <v>440</v>
      </c>
      <c r="F4" s="6" t="str">
        <f>_xll.BDP($B2&amp;" Equity",F3)</f>
        <v>USD</v>
      </c>
      <c r="G4" s="6">
        <f>IF(F4="USD",1,_xll.BDP($F$4&amp;" Curncy", "PX_LAST"))</f>
        <v>1</v>
      </c>
      <c r="H4" s="5"/>
    </row>
    <row r="5" spans="1:35" ht="15" thickBot="1" x14ac:dyDescent="0.4">
      <c r="A5" s="7" t="s">
        <v>26</v>
      </c>
    </row>
    <row r="6" spans="1:35" ht="15" thickBot="1" x14ac:dyDescent="0.4">
      <c r="B6" s="8" t="str">
        <f>_xll.BDP(B2&amp;" "&amp;TEXT(B3,"mm/dd/yyyy")&amp;" p"&amp;B4&amp;" equity","OPT_DIV_Yield")</f>
        <v>#N/A Field Not Applicable</v>
      </c>
    </row>
    <row r="7" spans="1:35" ht="32.5" thickBot="1" x14ac:dyDescent="0.75">
      <c r="A7" t="s">
        <v>27</v>
      </c>
      <c r="B7" s="8" t="b">
        <f>B6&gt;0</f>
        <v>1</v>
      </c>
      <c r="M7" s="9"/>
    </row>
    <row r="8" spans="1:35" ht="15" thickBot="1" x14ac:dyDescent="0.4">
      <c r="A8" s="10" t="s">
        <v>28</v>
      </c>
      <c r="B8" s="3">
        <v>100</v>
      </c>
      <c r="C8" t="s">
        <v>29</v>
      </c>
      <c r="E8" s="11" t="s">
        <v>30</v>
      </c>
      <c r="N8" t="s">
        <v>31</v>
      </c>
      <c r="Y8" s="12" t="s">
        <v>32</v>
      </c>
    </row>
    <row r="9" spans="1:35" x14ac:dyDescent="0.35">
      <c r="E9" t="s">
        <v>33</v>
      </c>
      <c r="L9" t="e">
        <f>isnum</f>
        <v>#NAME?</v>
      </c>
    </row>
    <row r="10" spans="1:35" ht="15" thickBot="1" x14ac:dyDescent="0.4"/>
    <row r="11" spans="1:35" ht="29.15" customHeight="1" x14ac:dyDescent="0.7">
      <c r="E11" s="13" t="s">
        <v>34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5"/>
      <c r="Z11" s="80" t="s">
        <v>35</v>
      </c>
      <c r="AA11" s="81"/>
      <c r="AB11" s="81"/>
      <c r="AC11" s="81"/>
      <c r="AD11" s="81"/>
      <c r="AE11" s="81"/>
      <c r="AF11" s="81"/>
      <c r="AG11" s="81"/>
      <c r="AH11" s="81"/>
      <c r="AI11" s="82"/>
    </row>
    <row r="12" spans="1:35" ht="15" customHeight="1" thickBot="1" x14ac:dyDescent="0.75"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Z12" s="83"/>
      <c r="AA12" s="84"/>
      <c r="AB12" s="84"/>
      <c r="AC12" s="84"/>
      <c r="AD12" s="84"/>
      <c r="AE12" s="84"/>
      <c r="AF12" s="84"/>
      <c r="AG12" s="84"/>
      <c r="AH12" s="84"/>
      <c r="AI12" s="85"/>
    </row>
    <row r="13" spans="1:35" ht="15" thickBot="1" x14ac:dyDescent="0.4">
      <c r="E13" s="19"/>
      <c r="T13" s="20"/>
      <c r="Z13" s="19"/>
      <c r="AI13" s="20"/>
    </row>
    <row r="14" spans="1:35" x14ac:dyDescent="0.35">
      <c r="E14" s="19"/>
      <c r="M14" s="86" t="s">
        <v>36</v>
      </c>
      <c r="N14" s="87"/>
      <c r="O14" s="88"/>
      <c r="Q14">
        <f ca="1">(Q16+R16)/2</f>
        <v>0</v>
      </c>
      <c r="T14" s="21" t="s">
        <v>37</v>
      </c>
      <c r="Z14" s="22"/>
      <c r="AA14" s="12"/>
      <c r="AB14" s="12"/>
      <c r="AC14" s="12"/>
      <c r="AD14" s="12"/>
      <c r="AE14" s="12"/>
      <c r="AF14" s="12"/>
      <c r="AG14" s="12"/>
      <c r="AH14" s="12"/>
      <c r="AI14" s="23"/>
    </row>
    <row r="15" spans="1:35" ht="44.5" customHeight="1" thickBot="1" x14ac:dyDescent="0.4">
      <c r="E15" s="19" t="s">
        <v>38</v>
      </c>
      <c r="F15" s="24" t="s">
        <v>39</v>
      </c>
      <c r="G15" t="s">
        <v>40</v>
      </c>
      <c r="H15" t="s">
        <v>41</v>
      </c>
      <c r="I15" s="12" t="s">
        <v>42</v>
      </c>
      <c r="J15" t="s">
        <v>43</v>
      </c>
      <c r="K15" t="s">
        <v>43</v>
      </c>
      <c r="L15" t="s">
        <v>44</v>
      </c>
      <c r="M15" s="25">
        <v>1</v>
      </c>
      <c r="N15" s="26">
        <v>2</v>
      </c>
      <c r="O15" s="27">
        <v>3</v>
      </c>
      <c r="P15" t="s">
        <v>41</v>
      </c>
      <c r="Q15" s="1" t="s">
        <v>45</v>
      </c>
      <c r="R15" s="1" t="s">
        <v>46</v>
      </c>
      <c r="S15" t="s">
        <v>47</v>
      </c>
      <c r="T15" s="21" t="s">
        <v>48</v>
      </c>
      <c r="Y15" s="12"/>
      <c r="Z15" s="22" t="s">
        <v>38</v>
      </c>
      <c r="AA15" s="28" t="s">
        <v>39</v>
      </c>
      <c r="AB15" s="12" t="s">
        <v>49</v>
      </c>
      <c r="AC15" s="12" t="s">
        <v>50</v>
      </c>
      <c r="AD15" s="12" t="s">
        <v>51</v>
      </c>
      <c r="AE15" s="12" t="s">
        <v>52</v>
      </c>
      <c r="AF15" s="12" t="s">
        <v>53</v>
      </c>
      <c r="AG15" s="29" t="s">
        <v>54</v>
      </c>
      <c r="AH15" s="30" t="s">
        <v>44</v>
      </c>
      <c r="AI15" s="31"/>
    </row>
    <row r="16" spans="1:35" ht="15" thickBot="1" x14ac:dyDescent="0.4">
      <c r="D16" s="32" t="s">
        <v>55</v>
      </c>
      <c r="E16" s="33">
        <f>_xll.BDS(B2&amp;" US Equity","BDVD_ALL_PROJ_WITH_PAY_DT","cols=7;rows=12")</f>
        <v>45274</v>
      </c>
      <c r="F16" s="34">
        <v>45275</v>
      </c>
      <c r="G16" s="34">
        <v>45322</v>
      </c>
      <c r="H16" s="35">
        <v>1.8633</v>
      </c>
      <c r="I16" s="35" t="s">
        <v>31</v>
      </c>
      <c r="J16" s="36">
        <v>1.6769000000000001</v>
      </c>
      <c r="K16" s="36">
        <v>1.6959</v>
      </c>
      <c r="L16" s="37">
        <f t="shared" ref="L16:L31" ca="1" si="0">IF(AND(F16&gt;TODAY(),F16&lt;=$B$3),1,0)</f>
        <v>0</v>
      </c>
      <c r="M16" s="37">
        <f t="shared" ref="M16:M31" ca="1" si="1">IF(AND(($L16=1),NOT(ISNUMBER(G16))),"error",1)</f>
        <v>1</v>
      </c>
      <c r="N16" s="37">
        <f t="shared" ref="N16:O31" ca="1" si="2">IF(AND(($L16=1),NOT(ISNUMBER(I16))),"error",1)</f>
        <v>1</v>
      </c>
      <c r="O16" s="37">
        <f t="shared" ca="1" si="2"/>
        <v>1</v>
      </c>
      <c r="P16" s="8">
        <f ca="1">L16*M16*H16</f>
        <v>0</v>
      </c>
      <c r="Q16" s="8">
        <f ca="1">IF(J16="#N/A N/A",0,L16*N16*J16)</f>
        <v>0</v>
      </c>
      <c r="R16" s="8">
        <f ca="1">IF(J16="#N/A N/A",0,L16*O16*K16)</f>
        <v>0</v>
      </c>
      <c r="S16" s="8">
        <f t="shared" ref="S16:S31" si="3">ABS(NETWORKDAYS(F16,$B$3))</f>
        <v>1</v>
      </c>
      <c r="T16" s="8">
        <f ca="1">IF(AND(P16&gt;0,S16&lt;=$B$8),1,0)</f>
        <v>0</v>
      </c>
      <c r="Y16" s="38" t="s">
        <v>56</v>
      </c>
      <c r="Z16" s="39">
        <f>_xll.BDS(B2&amp;" US Equity","DVD_HIST_ALL","cols=7;rows=126")</f>
        <v>45183</v>
      </c>
      <c r="AA16" s="40">
        <v>45184</v>
      </c>
      <c r="AB16" s="40">
        <v>45187</v>
      </c>
      <c r="AC16" s="40">
        <v>45230</v>
      </c>
      <c r="AD16" s="41">
        <v>1.583169</v>
      </c>
      <c r="AE16" s="41" t="s">
        <v>136</v>
      </c>
      <c r="AF16" s="42" t="s">
        <v>137</v>
      </c>
      <c r="AG16" s="43" t="b">
        <f>AF16="Regular Cash"</f>
        <v>0</v>
      </c>
      <c r="AH16" s="43" t="b">
        <f t="shared" ref="AH16" ca="1" si="4">AND(AA16&gt;TODAY(),AA16&lt;=$B$3,AG16)</f>
        <v>0</v>
      </c>
      <c r="AI16" s="43">
        <f ca="1">IF(AND(AG16,AH16),AD16,0)</f>
        <v>0</v>
      </c>
    </row>
    <row r="17" spans="2:35" ht="15" thickBot="1" x14ac:dyDescent="0.4">
      <c r="E17" s="44">
        <v>45365</v>
      </c>
      <c r="F17" s="45">
        <v>45366</v>
      </c>
      <c r="G17" s="45">
        <v>45412</v>
      </c>
      <c r="H17" s="46">
        <v>1.5090680000000001</v>
      </c>
      <c r="I17" s="46" t="s">
        <v>31</v>
      </c>
      <c r="J17" s="47">
        <v>0.52290000000000003</v>
      </c>
      <c r="K17" s="47">
        <v>1.0275000000000001</v>
      </c>
      <c r="L17" s="37">
        <f t="shared" ca="1" si="0"/>
        <v>0</v>
      </c>
      <c r="M17" s="37">
        <f t="shared" ca="1" si="1"/>
        <v>1</v>
      </c>
      <c r="N17" s="37">
        <f t="shared" ca="1" si="2"/>
        <v>1</v>
      </c>
      <c r="O17" s="37">
        <f t="shared" ca="1" si="2"/>
        <v>1</v>
      </c>
      <c r="P17" s="8">
        <f t="shared" ref="P17:P31" ca="1" si="5">L17*M17*H17</f>
        <v>0</v>
      </c>
      <c r="Q17" s="8">
        <f t="shared" ref="Q17:Q31" ca="1" si="6">IF(J17="#N/A N/A",0,L17*N17*J17)</f>
        <v>0</v>
      </c>
      <c r="R17" s="8">
        <f t="shared" ref="R17:R31" ca="1" si="7">IF(J17="#N/A N/A",0,L17*O17*K17)</f>
        <v>0</v>
      </c>
      <c r="S17" s="8">
        <f t="shared" si="3"/>
        <v>66</v>
      </c>
      <c r="T17" s="8">
        <f t="shared" ref="T17:T31" ca="1" si="8">IF(AND(P17&gt;0,S17&lt;=$B$8),1,0)</f>
        <v>0</v>
      </c>
      <c r="Y17" s="12"/>
      <c r="Z17" s="48">
        <v>45092</v>
      </c>
      <c r="AA17" s="49">
        <v>45093</v>
      </c>
      <c r="AB17" s="49">
        <v>45097</v>
      </c>
      <c r="AC17" s="49">
        <v>45138</v>
      </c>
      <c r="AD17" s="50">
        <v>1.6383669999999999</v>
      </c>
      <c r="AE17" s="50" t="s">
        <v>136</v>
      </c>
      <c r="AF17" s="51" t="s">
        <v>137</v>
      </c>
      <c r="AG17" s="43" t="b">
        <f t="shared" ref="AG17:AG80" si="9">AF17="Regular Cash"</f>
        <v>0</v>
      </c>
      <c r="AH17" s="43" t="b">
        <f ca="1">AND(AA17&gt;TODAY(),AA17&lt;=$B$3,AG17)</f>
        <v>0</v>
      </c>
      <c r="AI17" s="43">
        <f t="shared" ref="AI17:AI80" ca="1" si="10">IF(AND(AG17,AH17),AD17,0)</f>
        <v>0</v>
      </c>
    </row>
    <row r="18" spans="2:35" ht="15" thickBot="1" x14ac:dyDescent="0.4">
      <c r="E18" s="44">
        <v>45463</v>
      </c>
      <c r="F18" s="45">
        <v>45464</v>
      </c>
      <c r="G18" s="45">
        <v>45504</v>
      </c>
      <c r="H18" s="46">
        <v>1.795563</v>
      </c>
      <c r="I18" s="46" t="s">
        <v>31</v>
      </c>
      <c r="J18" s="47">
        <v>1.1771</v>
      </c>
      <c r="K18" s="47">
        <v>1.3565</v>
      </c>
      <c r="L18" s="37">
        <f t="shared" ca="1" si="0"/>
        <v>0</v>
      </c>
      <c r="M18" s="37">
        <f t="shared" ca="1" si="1"/>
        <v>1</v>
      </c>
      <c r="N18" s="37">
        <f t="shared" ca="1" si="2"/>
        <v>1</v>
      </c>
      <c r="O18" s="37">
        <f t="shared" ca="1" si="2"/>
        <v>1</v>
      </c>
      <c r="P18" s="8">
        <f t="shared" ca="1" si="5"/>
        <v>0</v>
      </c>
      <c r="Q18" s="8">
        <f t="shared" ca="1" si="6"/>
        <v>0</v>
      </c>
      <c r="R18" s="8">
        <f t="shared" ca="1" si="7"/>
        <v>0</v>
      </c>
      <c r="S18" s="8">
        <f t="shared" si="3"/>
        <v>136</v>
      </c>
      <c r="T18" s="8">
        <f t="shared" ca="1" si="8"/>
        <v>0</v>
      </c>
      <c r="Y18" s="12"/>
      <c r="Z18" s="48">
        <v>45001</v>
      </c>
      <c r="AA18" s="49">
        <v>45002</v>
      </c>
      <c r="AB18" s="49">
        <v>45005</v>
      </c>
      <c r="AC18" s="49">
        <v>45044</v>
      </c>
      <c r="AD18" s="50">
        <v>1.5062040000000001</v>
      </c>
      <c r="AE18" s="50" t="s">
        <v>136</v>
      </c>
      <c r="AF18" s="51" t="s">
        <v>137</v>
      </c>
      <c r="AG18" s="43" t="b">
        <f t="shared" si="9"/>
        <v>0</v>
      </c>
      <c r="AH18" s="43" t="b">
        <f t="shared" ref="AH18:AH81" ca="1" si="11">AND(AA18&gt;TODAY(),AA18&lt;=$B$3,AG18)</f>
        <v>0</v>
      </c>
      <c r="AI18" s="43">
        <f t="shared" ca="1" si="10"/>
        <v>0</v>
      </c>
    </row>
    <row r="19" spans="2:35" ht="15" thickBot="1" x14ac:dyDescent="0.4">
      <c r="E19" s="44">
        <v>45554</v>
      </c>
      <c r="F19" s="45">
        <v>45555</v>
      </c>
      <c r="G19" s="45">
        <v>45596</v>
      </c>
      <c r="H19" s="46">
        <v>1.706976</v>
      </c>
      <c r="I19" s="46" t="s">
        <v>31</v>
      </c>
      <c r="J19" s="47">
        <v>1.4682999999999999</v>
      </c>
      <c r="K19" s="47">
        <v>1.8606</v>
      </c>
      <c r="L19" s="37">
        <f t="shared" ca="1" si="0"/>
        <v>0</v>
      </c>
      <c r="M19" s="37">
        <f t="shared" ca="1" si="1"/>
        <v>1</v>
      </c>
      <c r="N19" s="37">
        <f t="shared" ca="1" si="2"/>
        <v>1</v>
      </c>
      <c r="O19" s="37">
        <f t="shared" ca="1" si="2"/>
        <v>1</v>
      </c>
      <c r="P19" s="8">
        <f t="shared" ca="1" si="5"/>
        <v>0</v>
      </c>
      <c r="Q19" s="8">
        <f t="shared" ca="1" si="6"/>
        <v>0</v>
      </c>
      <c r="R19" s="8">
        <f t="shared" ca="1" si="7"/>
        <v>0</v>
      </c>
      <c r="S19" s="8">
        <f t="shared" si="3"/>
        <v>201</v>
      </c>
      <c r="T19" s="8">
        <f t="shared" ca="1" si="8"/>
        <v>0</v>
      </c>
      <c r="Y19" s="12"/>
      <c r="Z19" s="48">
        <v>44910</v>
      </c>
      <c r="AA19" s="49">
        <v>44911</v>
      </c>
      <c r="AB19" s="49">
        <v>44914</v>
      </c>
      <c r="AC19" s="49">
        <v>44957</v>
      </c>
      <c r="AD19" s="50">
        <v>1.7814000000000001</v>
      </c>
      <c r="AE19" s="50" t="s">
        <v>136</v>
      </c>
      <c r="AF19" s="51" t="s">
        <v>137</v>
      </c>
      <c r="AG19" s="43" t="b">
        <f t="shared" si="9"/>
        <v>0</v>
      </c>
      <c r="AH19" s="43" t="b">
        <f t="shared" ca="1" si="11"/>
        <v>0</v>
      </c>
      <c r="AI19" s="43">
        <f t="shared" ca="1" si="10"/>
        <v>0</v>
      </c>
    </row>
    <row r="20" spans="2:35" ht="15" thickBot="1" x14ac:dyDescent="0.4">
      <c r="E20" s="44">
        <v>45645</v>
      </c>
      <c r="F20" s="45">
        <v>45646</v>
      </c>
      <c r="G20" s="45">
        <v>45688</v>
      </c>
      <c r="H20" s="46">
        <v>1.94828</v>
      </c>
      <c r="I20" s="46" t="s">
        <v>31</v>
      </c>
      <c r="J20" s="47">
        <v>1.3314999999999999</v>
      </c>
      <c r="K20" s="47">
        <v>1.6791</v>
      </c>
      <c r="L20" s="37">
        <f t="shared" ca="1" si="0"/>
        <v>0</v>
      </c>
      <c r="M20" s="37">
        <f t="shared" ca="1" si="1"/>
        <v>1</v>
      </c>
      <c r="N20" s="37">
        <f t="shared" ca="1" si="2"/>
        <v>1</v>
      </c>
      <c r="O20" s="37">
        <f t="shared" ca="1" si="2"/>
        <v>1</v>
      </c>
      <c r="P20" s="8">
        <f t="shared" ca="1" si="5"/>
        <v>0</v>
      </c>
      <c r="Q20" s="8">
        <f t="shared" ca="1" si="6"/>
        <v>0</v>
      </c>
      <c r="R20" s="8">
        <f t="shared" ca="1" si="7"/>
        <v>0</v>
      </c>
      <c r="S20" s="8">
        <f t="shared" si="3"/>
        <v>266</v>
      </c>
      <c r="T20" s="8">
        <f t="shared" ca="1" si="8"/>
        <v>0</v>
      </c>
      <c r="Y20" s="12"/>
      <c r="Z20" s="48">
        <v>44819</v>
      </c>
      <c r="AA20" s="49">
        <v>44820</v>
      </c>
      <c r="AB20" s="49">
        <v>44823</v>
      </c>
      <c r="AC20" s="49">
        <v>44865</v>
      </c>
      <c r="AD20" s="50">
        <v>1.596398</v>
      </c>
      <c r="AE20" s="50" t="s">
        <v>136</v>
      </c>
      <c r="AF20" s="51" t="s">
        <v>137</v>
      </c>
      <c r="AG20" s="43" t="b">
        <f t="shared" si="9"/>
        <v>0</v>
      </c>
      <c r="AH20" s="43" t="b">
        <f t="shared" ca="1" si="11"/>
        <v>0</v>
      </c>
      <c r="AI20" s="43">
        <f t="shared" ca="1" si="10"/>
        <v>0</v>
      </c>
    </row>
    <row r="21" spans="2:35" ht="15" thickBot="1" x14ac:dyDescent="0.4">
      <c r="E21" s="44">
        <v>45736</v>
      </c>
      <c r="F21" s="45">
        <v>45737</v>
      </c>
      <c r="G21" s="45">
        <v>45777</v>
      </c>
      <c r="H21" s="46">
        <v>1.6697439999999999</v>
      </c>
      <c r="I21" s="46" t="s">
        <v>31</v>
      </c>
      <c r="J21" s="47">
        <v>4.3099999999999999E-2</v>
      </c>
      <c r="K21" s="47">
        <v>1.9024000000000001</v>
      </c>
      <c r="L21" s="37">
        <f t="shared" ca="1" si="0"/>
        <v>0</v>
      </c>
      <c r="M21" s="37">
        <f t="shared" ca="1" si="1"/>
        <v>1</v>
      </c>
      <c r="N21" s="37">
        <f t="shared" ca="1" si="2"/>
        <v>1</v>
      </c>
      <c r="O21" s="37">
        <f t="shared" ca="1" si="2"/>
        <v>1</v>
      </c>
      <c r="P21" s="8">
        <f t="shared" ca="1" si="5"/>
        <v>0</v>
      </c>
      <c r="Q21" s="8">
        <f t="shared" ca="1" si="6"/>
        <v>0</v>
      </c>
      <c r="R21" s="8">
        <f t="shared" ca="1" si="7"/>
        <v>0</v>
      </c>
      <c r="S21" s="8">
        <f t="shared" si="3"/>
        <v>331</v>
      </c>
      <c r="T21" s="8">
        <f t="shared" ca="1" si="8"/>
        <v>0</v>
      </c>
      <c r="Y21" s="12"/>
      <c r="Z21" s="48">
        <v>44728</v>
      </c>
      <c r="AA21" s="49">
        <v>44729</v>
      </c>
      <c r="AB21" s="49">
        <v>44733</v>
      </c>
      <c r="AC21" s="49">
        <v>44771</v>
      </c>
      <c r="AD21" s="50">
        <v>1.5768709999999999</v>
      </c>
      <c r="AE21" s="50" t="s">
        <v>136</v>
      </c>
      <c r="AF21" s="51" t="s">
        <v>137</v>
      </c>
      <c r="AG21" s="43" t="b">
        <f t="shared" si="9"/>
        <v>0</v>
      </c>
      <c r="AH21" s="43" t="b">
        <f t="shared" ca="1" si="11"/>
        <v>0</v>
      </c>
      <c r="AI21" s="43">
        <f t="shared" ca="1" si="10"/>
        <v>0</v>
      </c>
    </row>
    <row r="22" spans="2:35" ht="15" thickBot="1" x14ac:dyDescent="0.4">
      <c r="B22" s="52">
        <v>42697</v>
      </c>
      <c r="E22" s="44">
        <v>45827</v>
      </c>
      <c r="F22" s="45">
        <v>45828</v>
      </c>
      <c r="G22" s="45">
        <v>45869</v>
      </c>
      <c r="H22" s="46">
        <v>1.842206</v>
      </c>
      <c r="I22" s="46" t="s">
        <v>31</v>
      </c>
      <c r="J22" s="47">
        <v>0.92379999999999995</v>
      </c>
      <c r="K22" s="47">
        <v>2.4866000000000001</v>
      </c>
      <c r="L22" s="37">
        <f t="shared" ca="1" si="0"/>
        <v>0</v>
      </c>
      <c r="M22" s="37">
        <f t="shared" ca="1" si="1"/>
        <v>1</v>
      </c>
      <c r="N22" s="37">
        <f t="shared" ca="1" si="2"/>
        <v>1</v>
      </c>
      <c r="O22" s="37">
        <f t="shared" ca="1" si="2"/>
        <v>1</v>
      </c>
      <c r="P22" s="8">
        <f t="shared" ca="1" si="5"/>
        <v>0</v>
      </c>
      <c r="Q22" s="8">
        <f t="shared" ca="1" si="6"/>
        <v>0</v>
      </c>
      <c r="R22" s="8">
        <f t="shared" ca="1" si="7"/>
        <v>0</v>
      </c>
      <c r="S22" s="8">
        <f t="shared" si="3"/>
        <v>396</v>
      </c>
      <c r="T22" s="8">
        <f t="shared" ca="1" si="8"/>
        <v>0</v>
      </c>
      <c r="Y22" s="12"/>
      <c r="Z22" s="48">
        <v>44637</v>
      </c>
      <c r="AA22" s="49">
        <v>44638</v>
      </c>
      <c r="AB22" s="49">
        <v>44641</v>
      </c>
      <c r="AC22" s="49">
        <v>44680</v>
      </c>
      <c r="AD22" s="50">
        <v>1.366009</v>
      </c>
      <c r="AE22" s="50" t="s">
        <v>136</v>
      </c>
      <c r="AF22" s="51" t="s">
        <v>137</v>
      </c>
      <c r="AG22" s="43" t="b">
        <f t="shared" si="9"/>
        <v>0</v>
      </c>
      <c r="AH22" s="43" t="b">
        <f t="shared" ca="1" si="11"/>
        <v>0</v>
      </c>
      <c r="AI22" s="43">
        <f t="shared" ca="1" si="10"/>
        <v>0</v>
      </c>
    </row>
    <row r="23" spans="2:35" ht="15" thickBot="1" x14ac:dyDescent="0.4">
      <c r="B23" s="52">
        <f>B22+60</f>
        <v>42757</v>
      </c>
      <c r="E23" s="44">
        <v>45918</v>
      </c>
      <c r="F23" s="45">
        <v>45919</v>
      </c>
      <c r="G23" s="45">
        <v>45961</v>
      </c>
      <c r="H23" s="46">
        <v>1.844022</v>
      </c>
      <c r="I23" s="46" t="s">
        <v>31</v>
      </c>
      <c r="J23" s="47">
        <v>3.1656</v>
      </c>
      <c r="K23" s="47">
        <v>5.0818000000000003</v>
      </c>
      <c r="L23" s="37">
        <f t="shared" ca="1" si="0"/>
        <v>0</v>
      </c>
      <c r="M23" s="37">
        <f t="shared" ca="1" si="1"/>
        <v>1</v>
      </c>
      <c r="N23" s="37">
        <f t="shared" ca="1" si="2"/>
        <v>1</v>
      </c>
      <c r="O23" s="37">
        <f t="shared" ca="1" si="2"/>
        <v>1</v>
      </c>
      <c r="P23" s="8">
        <f t="shared" ca="1" si="5"/>
        <v>0</v>
      </c>
      <c r="Q23" s="8">
        <f t="shared" ca="1" si="6"/>
        <v>0</v>
      </c>
      <c r="R23" s="8">
        <f t="shared" ca="1" si="7"/>
        <v>0</v>
      </c>
      <c r="S23" s="8">
        <f t="shared" si="3"/>
        <v>461</v>
      </c>
      <c r="T23" s="8">
        <f t="shared" ca="1" si="8"/>
        <v>0</v>
      </c>
      <c r="Y23" s="12"/>
      <c r="Z23" s="48">
        <v>44546</v>
      </c>
      <c r="AA23" s="49">
        <v>44547</v>
      </c>
      <c r="AB23" s="49">
        <v>44550</v>
      </c>
      <c r="AC23" s="49">
        <v>44592</v>
      </c>
      <c r="AD23" s="50">
        <v>1.636431</v>
      </c>
      <c r="AE23" s="50" t="s">
        <v>136</v>
      </c>
      <c r="AF23" s="51" t="s">
        <v>137</v>
      </c>
      <c r="AG23" s="43" t="b">
        <f t="shared" si="9"/>
        <v>0</v>
      </c>
      <c r="AH23" s="43" t="b">
        <f t="shared" ca="1" si="11"/>
        <v>0</v>
      </c>
      <c r="AI23" s="43">
        <f t="shared" ca="1" si="10"/>
        <v>0</v>
      </c>
    </row>
    <row r="24" spans="2:35" ht="15" thickBot="1" x14ac:dyDescent="0.4">
      <c r="E24" s="44">
        <v>46009</v>
      </c>
      <c r="F24" s="45">
        <v>46010</v>
      </c>
      <c r="G24" s="45">
        <v>46052</v>
      </c>
      <c r="H24" s="46">
        <v>2.07517</v>
      </c>
      <c r="I24" s="46" t="s">
        <v>31</v>
      </c>
      <c r="J24" s="47">
        <v>3.1656</v>
      </c>
      <c r="K24" s="47">
        <v>5.0818000000000003</v>
      </c>
      <c r="L24" s="37">
        <f t="shared" ca="1" si="0"/>
        <v>0</v>
      </c>
      <c r="M24" s="37">
        <f t="shared" ca="1" si="1"/>
        <v>1</v>
      </c>
      <c r="N24" s="37">
        <f t="shared" ca="1" si="2"/>
        <v>1</v>
      </c>
      <c r="O24" s="37">
        <f t="shared" ca="1" si="2"/>
        <v>1</v>
      </c>
      <c r="P24" s="8">
        <f t="shared" ca="1" si="5"/>
        <v>0</v>
      </c>
      <c r="Q24" s="8">
        <f t="shared" ca="1" si="6"/>
        <v>0</v>
      </c>
      <c r="R24" s="8">
        <f t="shared" ca="1" si="7"/>
        <v>0</v>
      </c>
      <c r="S24" s="8">
        <f t="shared" si="3"/>
        <v>526</v>
      </c>
      <c r="T24" s="8">
        <f t="shared" ca="1" si="8"/>
        <v>0</v>
      </c>
      <c r="Y24" s="12"/>
      <c r="Z24" s="48">
        <v>44455</v>
      </c>
      <c r="AA24" s="49">
        <v>44456</v>
      </c>
      <c r="AB24" s="49">
        <v>44459</v>
      </c>
      <c r="AC24" s="49">
        <v>44498</v>
      </c>
      <c r="AD24" s="50">
        <v>1.4281170000000001</v>
      </c>
      <c r="AE24" s="50" t="s">
        <v>136</v>
      </c>
      <c r="AF24" s="51" t="s">
        <v>137</v>
      </c>
      <c r="AG24" s="43" t="b">
        <f t="shared" si="9"/>
        <v>0</v>
      </c>
      <c r="AH24" s="43" t="b">
        <f t="shared" ca="1" si="11"/>
        <v>0</v>
      </c>
      <c r="AI24" s="43">
        <f t="shared" ca="1" si="10"/>
        <v>0</v>
      </c>
    </row>
    <row r="25" spans="2:35" ht="15" thickBot="1" x14ac:dyDescent="0.4">
      <c r="E25" s="44">
        <v>46100</v>
      </c>
      <c r="F25" s="45">
        <v>46101</v>
      </c>
      <c r="G25" s="45">
        <v>46142</v>
      </c>
      <c r="H25" s="46">
        <v>1.7605</v>
      </c>
      <c r="I25" s="46" t="s">
        <v>31</v>
      </c>
      <c r="J25" s="47" t="s">
        <v>31</v>
      </c>
      <c r="K25" s="47" t="s">
        <v>31</v>
      </c>
      <c r="L25" s="37">
        <f t="shared" ca="1" si="0"/>
        <v>0</v>
      </c>
      <c r="M25" s="37">
        <f t="shared" ca="1" si="1"/>
        <v>1</v>
      </c>
      <c r="N25" s="37">
        <f t="shared" ca="1" si="2"/>
        <v>1</v>
      </c>
      <c r="O25" s="37">
        <f t="shared" ca="1" si="2"/>
        <v>1</v>
      </c>
      <c r="P25" s="8">
        <f t="shared" ca="1" si="5"/>
        <v>0</v>
      </c>
      <c r="Q25" s="8">
        <f t="shared" si="6"/>
        <v>0</v>
      </c>
      <c r="R25" s="8">
        <f t="shared" si="7"/>
        <v>0</v>
      </c>
      <c r="S25" s="8">
        <f t="shared" si="3"/>
        <v>591</v>
      </c>
      <c r="T25" s="8">
        <f t="shared" ca="1" si="8"/>
        <v>0</v>
      </c>
      <c r="Y25" s="12"/>
      <c r="Z25" s="48">
        <v>44364</v>
      </c>
      <c r="AA25" s="49">
        <v>44365</v>
      </c>
      <c r="AB25" s="49">
        <v>44368</v>
      </c>
      <c r="AC25" s="49">
        <v>44407</v>
      </c>
      <c r="AD25" s="50">
        <v>1.375875</v>
      </c>
      <c r="AE25" s="50" t="s">
        <v>136</v>
      </c>
      <c r="AF25" s="51" t="s">
        <v>137</v>
      </c>
      <c r="AG25" s="43" t="b">
        <f t="shared" si="9"/>
        <v>0</v>
      </c>
      <c r="AH25" s="43" t="b">
        <f t="shared" ca="1" si="11"/>
        <v>0</v>
      </c>
      <c r="AI25" s="43">
        <f t="shared" ca="1" si="10"/>
        <v>0</v>
      </c>
    </row>
    <row r="26" spans="2:35" ht="15" thickBot="1" x14ac:dyDescent="0.4">
      <c r="E26" s="44">
        <v>46190</v>
      </c>
      <c r="F26" s="45">
        <v>46191</v>
      </c>
      <c r="G26" s="45">
        <v>46232</v>
      </c>
      <c r="H26" s="46">
        <v>1.950248</v>
      </c>
      <c r="I26" s="46" t="s">
        <v>31</v>
      </c>
      <c r="J26" s="47" t="s">
        <v>31</v>
      </c>
      <c r="K26" s="47" t="s">
        <v>31</v>
      </c>
      <c r="L26" s="37">
        <f t="shared" ca="1" si="0"/>
        <v>0</v>
      </c>
      <c r="M26" s="37">
        <f t="shared" ca="1" si="1"/>
        <v>1</v>
      </c>
      <c r="N26" s="37">
        <f t="shared" ca="1" si="2"/>
        <v>1</v>
      </c>
      <c r="O26" s="37">
        <f t="shared" ca="1" si="2"/>
        <v>1</v>
      </c>
      <c r="P26" s="8">
        <f t="shared" ca="1" si="5"/>
        <v>0</v>
      </c>
      <c r="Q26" s="8">
        <f t="shared" si="6"/>
        <v>0</v>
      </c>
      <c r="R26" s="8">
        <f t="shared" si="7"/>
        <v>0</v>
      </c>
      <c r="S26" s="8">
        <f t="shared" si="3"/>
        <v>655</v>
      </c>
      <c r="T26" s="8">
        <f t="shared" ca="1" si="8"/>
        <v>0</v>
      </c>
      <c r="Y26" s="12"/>
      <c r="Z26" s="48">
        <v>44273</v>
      </c>
      <c r="AA26" s="49">
        <v>44274</v>
      </c>
      <c r="AB26" s="49">
        <v>44277</v>
      </c>
      <c r="AC26" s="49">
        <v>44316</v>
      </c>
      <c r="AD26" s="50">
        <v>1.2777879999999999</v>
      </c>
      <c r="AE26" s="50" t="s">
        <v>136</v>
      </c>
      <c r="AF26" s="51" t="s">
        <v>137</v>
      </c>
      <c r="AG26" s="43" t="b">
        <f t="shared" si="9"/>
        <v>0</v>
      </c>
      <c r="AH26" s="43" t="b">
        <f t="shared" ca="1" si="11"/>
        <v>0</v>
      </c>
      <c r="AI26" s="43">
        <f t="shared" ca="1" si="10"/>
        <v>0</v>
      </c>
    </row>
    <row r="27" spans="2:35" ht="15" thickBot="1" x14ac:dyDescent="0.4">
      <c r="E27" s="44">
        <v>46280</v>
      </c>
      <c r="F27" s="45">
        <v>46281</v>
      </c>
      <c r="G27" s="45">
        <v>46322</v>
      </c>
      <c r="H27" s="46">
        <v>1.947012</v>
      </c>
      <c r="I27" s="46" t="s">
        <v>31</v>
      </c>
      <c r="J27" s="47" t="s">
        <v>31</v>
      </c>
      <c r="K27" s="47" t="s">
        <v>31</v>
      </c>
      <c r="L27" s="37">
        <f t="shared" ca="1" si="0"/>
        <v>0</v>
      </c>
      <c r="M27" s="37">
        <f t="shared" ca="1" si="1"/>
        <v>1</v>
      </c>
      <c r="N27" s="37">
        <f t="shared" ca="1" si="2"/>
        <v>1</v>
      </c>
      <c r="O27" s="37">
        <f t="shared" ca="1" si="2"/>
        <v>1</v>
      </c>
      <c r="P27" s="8">
        <f t="shared" ca="1" si="5"/>
        <v>0</v>
      </c>
      <c r="Q27" s="8">
        <f t="shared" si="6"/>
        <v>0</v>
      </c>
      <c r="R27" s="8">
        <f t="shared" si="7"/>
        <v>0</v>
      </c>
      <c r="S27" s="8">
        <f t="shared" si="3"/>
        <v>719</v>
      </c>
      <c r="T27" s="8">
        <f t="shared" ca="1" si="8"/>
        <v>0</v>
      </c>
      <c r="Y27" s="12"/>
      <c r="Z27" s="48">
        <v>44182</v>
      </c>
      <c r="AA27" s="49">
        <v>44183</v>
      </c>
      <c r="AB27" s="49">
        <v>44186</v>
      </c>
      <c r="AC27" s="49">
        <v>44225</v>
      </c>
      <c r="AD27" s="50">
        <v>1.58</v>
      </c>
      <c r="AE27" s="50" t="s">
        <v>136</v>
      </c>
      <c r="AF27" s="51" t="s">
        <v>137</v>
      </c>
      <c r="AG27" s="43" t="b">
        <f t="shared" si="9"/>
        <v>0</v>
      </c>
      <c r="AH27" s="43" t="b">
        <f t="shared" ca="1" si="11"/>
        <v>0</v>
      </c>
      <c r="AI27" s="43">
        <f t="shared" ca="1" si="10"/>
        <v>0</v>
      </c>
    </row>
    <row r="28" spans="2:35" ht="15" thickBot="1" x14ac:dyDescent="0.4">
      <c r="E28" s="44"/>
      <c r="F28" s="45"/>
      <c r="G28" s="45"/>
      <c r="H28" s="46"/>
      <c r="I28" s="46"/>
      <c r="J28" s="47"/>
      <c r="K28" s="47"/>
      <c r="L28" s="37">
        <f t="shared" ca="1" si="0"/>
        <v>0</v>
      </c>
      <c r="M28" s="37">
        <f t="shared" ca="1" si="1"/>
        <v>1</v>
      </c>
      <c r="N28" s="37">
        <f t="shared" ca="1" si="2"/>
        <v>1</v>
      </c>
      <c r="O28" s="37">
        <f t="shared" ca="1" si="2"/>
        <v>1</v>
      </c>
      <c r="P28" s="8">
        <f t="shared" ca="1" si="5"/>
        <v>0</v>
      </c>
      <c r="Q28" s="8">
        <f t="shared" ca="1" si="6"/>
        <v>0</v>
      </c>
      <c r="R28" s="8">
        <f t="shared" ca="1" si="7"/>
        <v>0</v>
      </c>
      <c r="S28" s="8">
        <f t="shared" si="3"/>
        <v>32340</v>
      </c>
      <c r="T28" s="8">
        <f t="shared" ca="1" si="8"/>
        <v>0</v>
      </c>
      <c r="Y28" s="12"/>
      <c r="Z28" s="48">
        <v>44091</v>
      </c>
      <c r="AA28" s="49">
        <v>44092</v>
      </c>
      <c r="AB28" s="49">
        <v>44095</v>
      </c>
      <c r="AC28" s="49">
        <v>44134</v>
      </c>
      <c r="AD28" s="50">
        <v>1.339224</v>
      </c>
      <c r="AE28" s="50" t="s">
        <v>136</v>
      </c>
      <c r="AF28" s="51" t="s">
        <v>137</v>
      </c>
      <c r="AG28" s="43" t="b">
        <f t="shared" si="9"/>
        <v>0</v>
      </c>
      <c r="AH28" s="43" t="b">
        <f t="shared" ca="1" si="11"/>
        <v>0</v>
      </c>
      <c r="AI28" s="43">
        <f t="shared" ca="1" si="10"/>
        <v>0</v>
      </c>
    </row>
    <row r="29" spans="2:35" ht="15" thickBot="1" x14ac:dyDescent="0.4">
      <c r="E29" s="44"/>
      <c r="F29" s="45"/>
      <c r="G29" s="45"/>
      <c r="H29" s="46"/>
      <c r="I29" s="46"/>
      <c r="J29" s="47"/>
      <c r="K29" s="47"/>
      <c r="L29" s="37">
        <f t="shared" ca="1" si="0"/>
        <v>0</v>
      </c>
      <c r="M29" s="37">
        <f t="shared" ca="1" si="1"/>
        <v>1</v>
      </c>
      <c r="N29" s="37">
        <f t="shared" ca="1" si="2"/>
        <v>1</v>
      </c>
      <c r="O29" s="37">
        <f t="shared" ca="1" si="2"/>
        <v>1</v>
      </c>
      <c r="P29" s="8">
        <f t="shared" ca="1" si="5"/>
        <v>0</v>
      </c>
      <c r="Q29" s="8">
        <f t="shared" ca="1" si="6"/>
        <v>0</v>
      </c>
      <c r="R29" s="8">
        <f t="shared" ca="1" si="7"/>
        <v>0</v>
      </c>
      <c r="S29" s="8">
        <f t="shared" si="3"/>
        <v>32340</v>
      </c>
      <c r="T29" s="8">
        <f t="shared" ca="1" si="8"/>
        <v>0</v>
      </c>
      <c r="Y29" s="12"/>
      <c r="Z29" s="48">
        <v>44000</v>
      </c>
      <c r="AA29" s="49">
        <v>44001</v>
      </c>
      <c r="AB29" s="49">
        <v>44004</v>
      </c>
      <c r="AC29" s="49">
        <v>44043</v>
      </c>
      <c r="AD29" s="50">
        <v>1.366242</v>
      </c>
      <c r="AE29" s="50" t="s">
        <v>136</v>
      </c>
      <c r="AF29" s="51" t="s">
        <v>137</v>
      </c>
      <c r="AG29" s="43" t="b">
        <f t="shared" si="9"/>
        <v>0</v>
      </c>
      <c r="AH29" s="43" t="b">
        <f t="shared" ca="1" si="11"/>
        <v>0</v>
      </c>
      <c r="AI29" s="43">
        <f t="shared" ca="1" si="10"/>
        <v>0</v>
      </c>
    </row>
    <row r="30" spans="2:35" ht="15" thickBot="1" x14ac:dyDescent="0.4">
      <c r="E30" s="44"/>
      <c r="F30" s="45"/>
      <c r="G30" s="45"/>
      <c r="H30" s="46"/>
      <c r="I30" s="46"/>
      <c r="J30" s="47"/>
      <c r="K30" s="47"/>
      <c r="L30" s="37">
        <f t="shared" ca="1" si="0"/>
        <v>0</v>
      </c>
      <c r="M30" s="37">
        <f t="shared" ca="1" si="1"/>
        <v>1</v>
      </c>
      <c r="N30" s="37">
        <f t="shared" ca="1" si="2"/>
        <v>1</v>
      </c>
      <c r="O30" s="37">
        <f t="shared" ca="1" si="2"/>
        <v>1</v>
      </c>
      <c r="P30" s="8">
        <f t="shared" ca="1" si="5"/>
        <v>0</v>
      </c>
      <c r="Q30" s="8">
        <f t="shared" ca="1" si="6"/>
        <v>0</v>
      </c>
      <c r="R30" s="8">
        <f t="shared" ca="1" si="7"/>
        <v>0</v>
      </c>
      <c r="S30" s="8">
        <f t="shared" si="3"/>
        <v>32340</v>
      </c>
      <c r="T30" s="8">
        <f t="shared" ca="1" si="8"/>
        <v>0</v>
      </c>
      <c r="Y30" s="12"/>
      <c r="Z30" s="48">
        <v>43909</v>
      </c>
      <c r="AA30" s="49">
        <v>43910</v>
      </c>
      <c r="AB30" s="49">
        <v>43913</v>
      </c>
      <c r="AC30" s="49">
        <v>43951</v>
      </c>
      <c r="AD30" s="50">
        <v>1.405559</v>
      </c>
      <c r="AE30" s="50" t="s">
        <v>136</v>
      </c>
      <c r="AF30" s="51" t="s">
        <v>137</v>
      </c>
      <c r="AG30" s="43" t="b">
        <f t="shared" si="9"/>
        <v>0</v>
      </c>
      <c r="AH30" s="43" t="b">
        <f t="shared" ca="1" si="11"/>
        <v>0</v>
      </c>
      <c r="AI30" s="43">
        <f t="shared" ca="1" si="10"/>
        <v>0</v>
      </c>
    </row>
    <row r="31" spans="2:35" ht="15" thickBot="1" x14ac:dyDescent="0.4">
      <c r="E31" s="53"/>
      <c r="F31" s="54"/>
      <c r="G31" s="54"/>
      <c r="H31" s="55"/>
      <c r="I31" s="55"/>
      <c r="J31" s="56"/>
      <c r="K31" s="56"/>
      <c r="L31" s="37">
        <f t="shared" ca="1" si="0"/>
        <v>0</v>
      </c>
      <c r="M31" s="37">
        <f t="shared" ca="1" si="1"/>
        <v>1</v>
      </c>
      <c r="N31" s="37">
        <f t="shared" ca="1" si="2"/>
        <v>1</v>
      </c>
      <c r="O31" s="37">
        <f t="shared" ca="1" si="2"/>
        <v>1</v>
      </c>
      <c r="P31" s="8">
        <f t="shared" ca="1" si="5"/>
        <v>0</v>
      </c>
      <c r="Q31" s="8">
        <f t="shared" ca="1" si="6"/>
        <v>0</v>
      </c>
      <c r="R31" s="8">
        <f t="shared" ca="1" si="7"/>
        <v>0</v>
      </c>
      <c r="S31" s="8">
        <f t="shared" si="3"/>
        <v>32340</v>
      </c>
      <c r="T31" s="8">
        <f t="shared" ca="1" si="8"/>
        <v>0</v>
      </c>
      <c r="Y31" s="12"/>
      <c r="Z31" s="48">
        <v>43818</v>
      </c>
      <c r="AA31" s="49">
        <v>43819</v>
      </c>
      <c r="AB31" s="49">
        <v>43822</v>
      </c>
      <c r="AC31" s="49">
        <v>43861</v>
      </c>
      <c r="AD31" s="50">
        <v>1.5699920000000001</v>
      </c>
      <c r="AE31" s="50" t="s">
        <v>136</v>
      </c>
      <c r="AF31" s="51" t="s">
        <v>137</v>
      </c>
      <c r="AG31" s="43" t="b">
        <f t="shared" si="9"/>
        <v>0</v>
      </c>
      <c r="AH31" s="43" t="b">
        <f t="shared" ca="1" si="11"/>
        <v>0</v>
      </c>
      <c r="AI31" s="43">
        <f t="shared" ca="1" si="10"/>
        <v>0</v>
      </c>
    </row>
    <row r="32" spans="2:35" ht="15" thickBot="1" x14ac:dyDescent="0.4">
      <c r="E32" s="57"/>
      <c r="F32" s="24"/>
      <c r="G32" s="24"/>
      <c r="T32" s="20"/>
      <c r="Y32" s="12"/>
      <c r="Z32" s="48">
        <v>43727</v>
      </c>
      <c r="AA32" s="49">
        <v>43728</v>
      </c>
      <c r="AB32" s="49">
        <v>43731</v>
      </c>
      <c r="AC32" s="49">
        <v>43769</v>
      </c>
      <c r="AD32" s="50">
        <v>1.3836189999999999</v>
      </c>
      <c r="AE32" s="50" t="s">
        <v>136</v>
      </c>
      <c r="AF32" s="51" t="s">
        <v>137</v>
      </c>
      <c r="AG32" s="43" t="b">
        <f t="shared" si="9"/>
        <v>0</v>
      </c>
      <c r="AH32" s="43" t="b">
        <f t="shared" ca="1" si="11"/>
        <v>0</v>
      </c>
      <c r="AI32" s="43">
        <f t="shared" ca="1" si="10"/>
        <v>0</v>
      </c>
    </row>
    <row r="33" spans="1:35" ht="15" thickBot="1" x14ac:dyDescent="0.4">
      <c r="E33" s="57"/>
      <c r="F33" s="24"/>
      <c r="G33" s="24"/>
      <c r="N33" t="s">
        <v>57</v>
      </c>
      <c r="T33" s="20"/>
      <c r="Y33" s="12"/>
      <c r="Z33" s="48">
        <v>43636</v>
      </c>
      <c r="AA33" s="49">
        <v>43637</v>
      </c>
      <c r="AB33" s="49">
        <v>43640</v>
      </c>
      <c r="AC33" s="49">
        <v>43677</v>
      </c>
      <c r="AD33" s="50">
        <v>1.43164</v>
      </c>
      <c r="AE33" s="50" t="s">
        <v>136</v>
      </c>
      <c r="AF33" s="51" t="s">
        <v>137</v>
      </c>
      <c r="AG33" s="43" t="b">
        <f t="shared" si="9"/>
        <v>0</v>
      </c>
      <c r="AH33" s="43" t="b">
        <f t="shared" ca="1" si="11"/>
        <v>0</v>
      </c>
      <c r="AI33" s="43">
        <f t="shared" ca="1" si="10"/>
        <v>0</v>
      </c>
    </row>
    <row r="34" spans="1:35" ht="15.75" customHeight="1" thickBot="1" x14ac:dyDescent="0.4">
      <c r="E34" s="57"/>
      <c r="F34" s="24"/>
      <c r="G34" s="24"/>
      <c r="T34" s="20"/>
      <c r="Y34" s="58"/>
      <c r="Z34" s="48">
        <v>43538</v>
      </c>
      <c r="AA34" s="49">
        <v>43539</v>
      </c>
      <c r="AB34" s="49">
        <v>43542</v>
      </c>
      <c r="AC34" s="49">
        <v>43585</v>
      </c>
      <c r="AD34" s="50">
        <v>1.2331190000000001</v>
      </c>
      <c r="AE34" s="50" t="s">
        <v>136</v>
      </c>
      <c r="AF34" s="51" t="s">
        <v>137</v>
      </c>
      <c r="AG34" s="43" t="b">
        <f t="shared" si="9"/>
        <v>0</v>
      </c>
      <c r="AH34" s="43" t="b">
        <f t="shared" ca="1" si="11"/>
        <v>0</v>
      </c>
      <c r="AI34" s="43">
        <f t="shared" ca="1" si="10"/>
        <v>0</v>
      </c>
    </row>
    <row r="35" spans="1:35" ht="15" thickBot="1" x14ac:dyDescent="0.4">
      <c r="E35" s="57"/>
      <c r="F35" s="24"/>
      <c r="G35" s="24"/>
      <c r="T35" s="20"/>
      <c r="Y35" s="58"/>
      <c r="Z35" s="48">
        <v>43454</v>
      </c>
      <c r="AA35" s="49">
        <v>43455</v>
      </c>
      <c r="AB35" s="49">
        <v>43458</v>
      </c>
      <c r="AC35" s="49">
        <v>43496</v>
      </c>
      <c r="AD35" s="50">
        <v>1.4354290000000001</v>
      </c>
      <c r="AE35" s="50" t="s">
        <v>136</v>
      </c>
      <c r="AF35" s="51" t="s">
        <v>137</v>
      </c>
      <c r="AG35" s="43" t="b">
        <f t="shared" si="9"/>
        <v>0</v>
      </c>
      <c r="AH35" s="43" t="b">
        <f t="shared" ca="1" si="11"/>
        <v>0</v>
      </c>
      <c r="AI35" s="43">
        <f t="shared" ca="1" si="10"/>
        <v>0</v>
      </c>
    </row>
    <row r="36" spans="1:35" ht="15" thickBot="1" x14ac:dyDescent="0.4">
      <c r="E36" s="57"/>
      <c r="F36" s="24"/>
      <c r="G36" s="24"/>
      <c r="T36" s="20"/>
      <c r="Y36" s="58"/>
      <c r="Z36" s="48">
        <v>43363</v>
      </c>
      <c r="AA36" s="49">
        <v>43364</v>
      </c>
      <c r="AB36" s="49">
        <v>43367</v>
      </c>
      <c r="AC36" s="49">
        <v>43404</v>
      </c>
      <c r="AD36" s="50">
        <v>1.322611</v>
      </c>
      <c r="AE36" s="50" t="s">
        <v>136</v>
      </c>
      <c r="AF36" s="51" t="s">
        <v>137</v>
      </c>
      <c r="AG36" s="43" t="b">
        <f t="shared" si="9"/>
        <v>0</v>
      </c>
      <c r="AH36" s="43" t="b">
        <f t="shared" ca="1" si="11"/>
        <v>0</v>
      </c>
      <c r="AI36" s="43">
        <f t="shared" ca="1" si="10"/>
        <v>0</v>
      </c>
    </row>
    <row r="37" spans="1:35" ht="15" thickBot="1" x14ac:dyDescent="0.4">
      <c r="E37" s="57"/>
      <c r="F37" s="24"/>
      <c r="G37" s="24"/>
      <c r="T37" s="20"/>
      <c r="Y37" s="58"/>
      <c r="Z37" s="48">
        <v>43265</v>
      </c>
      <c r="AA37" s="49">
        <v>43266</v>
      </c>
      <c r="AB37" s="49">
        <v>43269</v>
      </c>
      <c r="AC37" s="49">
        <v>43312</v>
      </c>
      <c r="AD37" s="50">
        <v>1.245568</v>
      </c>
      <c r="AE37" s="50" t="s">
        <v>136</v>
      </c>
      <c r="AF37" s="51" t="s">
        <v>137</v>
      </c>
      <c r="AG37" s="43" t="b">
        <f t="shared" si="9"/>
        <v>0</v>
      </c>
      <c r="AH37" s="43" t="b">
        <f t="shared" ca="1" si="11"/>
        <v>0</v>
      </c>
      <c r="AI37" s="43">
        <f t="shared" ca="1" si="10"/>
        <v>0</v>
      </c>
    </row>
    <row r="38" spans="1:35" ht="15.75" customHeight="1" thickBot="1" x14ac:dyDescent="0.4">
      <c r="E38" s="57"/>
      <c r="F38" s="24"/>
      <c r="G38" s="24"/>
      <c r="S38" s="1"/>
      <c r="T38" s="59"/>
      <c r="U38" s="1"/>
      <c r="V38" s="1"/>
      <c r="W38" s="1"/>
      <c r="X38" s="1"/>
      <c r="Y38" s="12"/>
      <c r="Z38" s="48">
        <v>43174</v>
      </c>
      <c r="AA38" s="49">
        <v>43175</v>
      </c>
      <c r="AB38" s="49">
        <v>43178</v>
      </c>
      <c r="AC38" s="49">
        <v>43220</v>
      </c>
      <c r="AD38" s="50">
        <v>1.0967750000000001</v>
      </c>
      <c r="AE38" s="50" t="s">
        <v>136</v>
      </c>
      <c r="AF38" s="51" t="s">
        <v>137</v>
      </c>
      <c r="AG38" s="43" t="b">
        <f t="shared" si="9"/>
        <v>0</v>
      </c>
      <c r="AH38" s="43" t="b">
        <f t="shared" ca="1" si="11"/>
        <v>0</v>
      </c>
      <c r="AI38" s="43">
        <f t="shared" ca="1" si="10"/>
        <v>0</v>
      </c>
    </row>
    <row r="39" spans="1:35" ht="15" thickBot="1" x14ac:dyDescent="0.4">
      <c r="E39" s="57"/>
      <c r="F39" s="24"/>
      <c r="G39" s="24"/>
      <c r="S39" s="1"/>
      <c r="T39" s="59"/>
      <c r="U39" s="1"/>
      <c r="V39" s="1"/>
      <c r="W39" s="1"/>
      <c r="X39" s="1"/>
      <c r="Y39" s="12"/>
      <c r="Z39" s="48">
        <v>43083</v>
      </c>
      <c r="AA39" s="49">
        <v>43084</v>
      </c>
      <c r="AB39" s="49">
        <v>43087</v>
      </c>
      <c r="AC39" s="49">
        <v>43131</v>
      </c>
      <c r="AD39" s="50">
        <v>1.3513329999999999</v>
      </c>
      <c r="AE39" s="50" t="s">
        <v>136</v>
      </c>
      <c r="AF39" s="51" t="s">
        <v>137</v>
      </c>
      <c r="AG39" s="43" t="b">
        <f t="shared" si="9"/>
        <v>0</v>
      </c>
      <c r="AH39" s="43" t="b">
        <f t="shared" ca="1" si="11"/>
        <v>0</v>
      </c>
      <c r="AI39" s="43">
        <f t="shared" ca="1" si="10"/>
        <v>0</v>
      </c>
    </row>
    <row r="40" spans="1:35" ht="15" thickBot="1" x14ac:dyDescent="0.4">
      <c r="E40" s="57"/>
      <c r="F40" s="24"/>
      <c r="G40" s="24"/>
      <c r="S40" s="1"/>
      <c r="T40" s="59"/>
      <c r="U40" s="1"/>
      <c r="V40" s="1"/>
      <c r="W40" s="1"/>
      <c r="X40" s="1"/>
      <c r="Y40" s="12"/>
      <c r="Z40" s="48">
        <v>42992</v>
      </c>
      <c r="AA40" s="49">
        <v>42993</v>
      </c>
      <c r="AB40" s="49">
        <v>42996</v>
      </c>
      <c r="AC40" s="49">
        <v>43039</v>
      </c>
      <c r="AD40" s="50">
        <v>1.2345740000000001</v>
      </c>
      <c r="AE40" s="50" t="s">
        <v>136</v>
      </c>
      <c r="AF40" s="51" t="s">
        <v>137</v>
      </c>
      <c r="AG40" s="43" t="b">
        <f t="shared" si="9"/>
        <v>0</v>
      </c>
      <c r="AH40" s="43" t="b">
        <f t="shared" ca="1" si="11"/>
        <v>0</v>
      </c>
      <c r="AI40" s="43">
        <f t="shared" ca="1" si="10"/>
        <v>0</v>
      </c>
    </row>
    <row r="41" spans="1:35" ht="15" thickBot="1" x14ac:dyDescent="0.4">
      <c r="E41" s="57"/>
      <c r="F41" s="24"/>
      <c r="G41" s="24"/>
      <c r="S41" s="1"/>
      <c r="T41" s="59"/>
      <c r="U41" s="1"/>
      <c r="V41" s="1"/>
      <c r="W41" s="1"/>
      <c r="X41" s="1"/>
      <c r="Y41" s="12"/>
      <c r="Z41" s="48">
        <v>42901</v>
      </c>
      <c r="AA41" s="49">
        <v>42902</v>
      </c>
      <c r="AB41" s="49">
        <v>42906</v>
      </c>
      <c r="AC41" s="49">
        <v>42947</v>
      </c>
      <c r="AD41" s="50">
        <v>1.183108</v>
      </c>
      <c r="AE41" s="50" t="s">
        <v>136</v>
      </c>
      <c r="AF41" s="51" t="s">
        <v>137</v>
      </c>
      <c r="AG41" s="43" t="b">
        <f t="shared" si="9"/>
        <v>0</v>
      </c>
      <c r="AH41" s="43" t="b">
        <f t="shared" ca="1" si="11"/>
        <v>0</v>
      </c>
      <c r="AI41" s="43">
        <f t="shared" ca="1" si="10"/>
        <v>0</v>
      </c>
    </row>
    <row r="42" spans="1:35" ht="15" thickBot="1" x14ac:dyDescent="0.4">
      <c r="E42" s="57"/>
      <c r="F42" s="24"/>
      <c r="G42" s="24"/>
      <c r="T42" s="20"/>
      <c r="Y42" s="12"/>
      <c r="Z42" s="48">
        <v>42810</v>
      </c>
      <c r="AA42" s="49">
        <v>42811</v>
      </c>
      <c r="AB42" s="49">
        <v>42815</v>
      </c>
      <c r="AC42" s="49">
        <v>42853</v>
      </c>
      <c r="AD42" s="50">
        <v>1.033118</v>
      </c>
      <c r="AE42" s="50" t="s">
        <v>136</v>
      </c>
      <c r="AF42" s="51" t="s">
        <v>137</v>
      </c>
      <c r="AG42" s="43" t="b">
        <f t="shared" si="9"/>
        <v>0</v>
      </c>
      <c r="AH42" s="43" t="b">
        <f t="shared" ca="1" si="11"/>
        <v>0</v>
      </c>
      <c r="AI42" s="43">
        <f t="shared" ca="1" si="10"/>
        <v>0</v>
      </c>
    </row>
    <row r="43" spans="1:35" ht="15" thickBot="1" x14ac:dyDescent="0.4">
      <c r="E43" s="57"/>
      <c r="F43" s="24"/>
      <c r="G43" s="24"/>
      <c r="T43" s="20"/>
      <c r="Y43" s="12"/>
      <c r="Z43" s="48">
        <v>42719</v>
      </c>
      <c r="AA43" s="49">
        <v>42720</v>
      </c>
      <c r="AB43" s="49">
        <v>42724</v>
      </c>
      <c r="AC43" s="49">
        <v>42766</v>
      </c>
      <c r="AD43" s="50">
        <v>1.3289299999999999</v>
      </c>
      <c r="AE43" s="50" t="s">
        <v>136</v>
      </c>
      <c r="AF43" s="51" t="s">
        <v>137</v>
      </c>
      <c r="AG43" s="43" t="b">
        <f t="shared" si="9"/>
        <v>0</v>
      </c>
      <c r="AH43" s="43" t="b">
        <f t="shared" ca="1" si="11"/>
        <v>0</v>
      </c>
      <c r="AI43" s="43">
        <f t="shared" ca="1" si="10"/>
        <v>0</v>
      </c>
    </row>
    <row r="44" spans="1:35" ht="39" thickBot="1" x14ac:dyDescent="0.9">
      <c r="A44" s="60" t="s">
        <v>58</v>
      </c>
      <c r="E44" s="61"/>
      <c r="F44" s="62"/>
      <c r="G44" s="62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7"/>
      <c r="Y44" s="12"/>
      <c r="Z44" s="48">
        <v>42628</v>
      </c>
      <c r="AA44" s="49">
        <v>42629</v>
      </c>
      <c r="AB44" s="49">
        <v>42633</v>
      </c>
      <c r="AC44" s="49">
        <v>42674</v>
      </c>
      <c r="AD44" s="50">
        <v>1.082068</v>
      </c>
      <c r="AE44" s="50" t="s">
        <v>136</v>
      </c>
      <c r="AF44" s="51" t="s">
        <v>137</v>
      </c>
      <c r="AG44" s="43" t="b">
        <f t="shared" si="9"/>
        <v>0</v>
      </c>
      <c r="AH44" s="43" t="b">
        <f t="shared" ca="1" si="11"/>
        <v>0</v>
      </c>
      <c r="AI44" s="43">
        <f t="shared" ca="1" si="10"/>
        <v>0</v>
      </c>
    </row>
    <row r="45" spans="1:35" ht="15" thickBot="1" x14ac:dyDescent="0.4">
      <c r="A45" t="s">
        <v>59</v>
      </c>
      <c r="E45" s="24"/>
      <c r="F45" s="24"/>
      <c r="G45" s="24"/>
      <c r="Y45" s="12"/>
      <c r="Z45" s="48">
        <v>42537</v>
      </c>
      <c r="AA45" s="49">
        <v>42538</v>
      </c>
      <c r="AB45" s="49">
        <v>42542</v>
      </c>
      <c r="AC45" s="49">
        <v>42580</v>
      </c>
      <c r="AD45" s="50">
        <v>1.0784419999999999</v>
      </c>
      <c r="AE45" s="50" t="s">
        <v>136</v>
      </c>
      <c r="AF45" s="51" t="s">
        <v>137</v>
      </c>
      <c r="AG45" s="43" t="b">
        <f t="shared" si="9"/>
        <v>0</v>
      </c>
      <c r="AH45" s="43" t="b">
        <f t="shared" ca="1" si="11"/>
        <v>0</v>
      </c>
      <c r="AI45" s="43">
        <f t="shared" ca="1" si="10"/>
        <v>0</v>
      </c>
    </row>
    <row r="46" spans="1:35" ht="15" thickBot="1" x14ac:dyDescent="0.4">
      <c r="E46" s="24"/>
      <c r="F46" s="24"/>
      <c r="G46" s="24"/>
      <c r="R46" t="s">
        <v>60</v>
      </c>
      <c r="Y46" s="12"/>
      <c r="Z46" s="48">
        <v>42446</v>
      </c>
      <c r="AA46" s="49">
        <v>42447</v>
      </c>
      <c r="AB46" s="49">
        <v>42451</v>
      </c>
      <c r="AC46" s="49">
        <v>42489</v>
      </c>
      <c r="AD46" s="50">
        <v>1.049604</v>
      </c>
      <c r="AE46" s="50" t="s">
        <v>136</v>
      </c>
      <c r="AF46" s="51" t="s">
        <v>137</v>
      </c>
      <c r="AG46" s="43" t="b">
        <f t="shared" si="9"/>
        <v>0</v>
      </c>
      <c r="AH46" s="43" t="b">
        <f t="shared" ca="1" si="11"/>
        <v>0</v>
      </c>
      <c r="AI46" s="43">
        <f t="shared" ca="1" si="10"/>
        <v>0</v>
      </c>
    </row>
    <row r="47" spans="1:35" ht="15" thickBot="1" x14ac:dyDescent="0.4">
      <c r="E47" s="24"/>
      <c r="F47" s="24"/>
      <c r="G47" s="24"/>
      <c r="P47" s="63" t="s">
        <v>35</v>
      </c>
      <c r="Q47" s="64">
        <f ca="1">SUM(AI16:AI56)</f>
        <v>0</v>
      </c>
      <c r="R47" s="64">
        <f t="shared" ref="R47:R52" ca="1" si="12">Q47/$G$4</f>
        <v>0</v>
      </c>
      <c r="S47" s="10" t="s">
        <v>61</v>
      </c>
      <c r="T47" s="10"/>
      <c r="U47" s="10"/>
      <c r="V47" s="10"/>
      <c r="Y47" s="12"/>
      <c r="Z47" s="48">
        <v>42355</v>
      </c>
      <c r="AA47" s="49">
        <v>42356</v>
      </c>
      <c r="AB47" s="49">
        <v>42360</v>
      </c>
      <c r="AC47" s="49">
        <v>42398</v>
      </c>
      <c r="AD47" s="50">
        <v>1.2115499999999999</v>
      </c>
      <c r="AE47" s="50" t="s">
        <v>136</v>
      </c>
      <c r="AF47" s="51" t="s">
        <v>137</v>
      </c>
      <c r="AG47" s="43" t="b">
        <f t="shared" si="9"/>
        <v>0</v>
      </c>
      <c r="AH47" s="43" t="b">
        <f t="shared" ca="1" si="11"/>
        <v>0</v>
      </c>
      <c r="AI47" s="43">
        <f t="shared" ca="1" si="10"/>
        <v>0</v>
      </c>
    </row>
    <row r="48" spans="1:35" ht="15" thickBot="1" x14ac:dyDescent="0.4">
      <c r="E48" s="24"/>
      <c r="F48" s="24"/>
      <c r="G48" s="24"/>
      <c r="P48" s="63" t="s">
        <v>62</v>
      </c>
      <c r="Q48" s="64">
        <f ca="1">SUM(P16:P31)</f>
        <v>0</v>
      </c>
      <c r="R48" s="64">
        <f t="shared" ca="1" si="12"/>
        <v>0</v>
      </c>
      <c r="S48" s="10"/>
      <c r="T48" s="10"/>
      <c r="U48" s="10"/>
      <c r="V48" s="10"/>
      <c r="Y48" s="12"/>
      <c r="Z48" s="48">
        <v>42264</v>
      </c>
      <c r="AA48" s="49">
        <v>42265</v>
      </c>
      <c r="AB48" s="49">
        <v>42269</v>
      </c>
      <c r="AC48" s="49">
        <v>42307</v>
      </c>
      <c r="AD48" s="50">
        <v>1.0334300000000001</v>
      </c>
      <c r="AE48" s="50" t="s">
        <v>136</v>
      </c>
      <c r="AF48" s="51" t="s">
        <v>137</v>
      </c>
      <c r="AG48" s="43" t="b">
        <f t="shared" si="9"/>
        <v>0</v>
      </c>
      <c r="AH48" s="43" t="b">
        <f t="shared" ca="1" si="11"/>
        <v>0</v>
      </c>
      <c r="AI48" s="43">
        <f t="shared" ca="1" si="10"/>
        <v>0</v>
      </c>
    </row>
    <row r="49" spans="1:35" ht="15" thickBot="1" x14ac:dyDescent="0.4">
      <c r="E49" s="24"/>
      <c r="F49" s="24"/>
      <c r="G49" s="24"/>
      <c r="P49" s="63" t="s">
        <v>63</v>
      </c>
      <c r="Q49" s="64">
        <f ca="1">Q47+Q48</f>
        <v>0</v>
      </c>
      <c r="R49" s="64">
        <f ca="1">Q49/$G$4</f>
        <v>0</v>
      </c>
      <c r="S49" s="10"/>
      <c r="T49" s="10"/>
      <c r="U49" s="10"/>
      <c r="V49" s="10"/>
      <c r="Y49" s="12"/>
      <c r="Z49" s="48">
        <v>42173</v>
      </c>
      <c r="AA49" s="49">
        <v>42174</v>
      </c>
      <c r="AB49" s="49">
        <v>42178</v>
      </c>
      <c r="AC49" s="49">
        <v>42216</v>
      </c>
      <c r="AD49" s="50">
        <v>1.03007</v>
      </c>
      <c r="AE49" s="50" t="s">
        <v>136</v>
      </c>
      <c r="AF49" s="51" t="s">
        <v>137</v>
      </c>
      <c r="AG49" s="43" t="b">
        <f t="shared" si="9"/>
        <v>0</v>
      </c>
      <c r="AH49" s="43" t="b">
        <f t="shared" ca="1" si="11"/>
        <v>0</v>
      </c>
      <c r="AI49" s="43">
        <f t="shared" ca="1" si="10"/>
        <v>0</v>
      </c>
    </row>
    <row r="50" spans="1:35" ht="15" thickBot="1" x14ac:dyDescent="0.4">
      <c r="E50" s="24"/>
      <c r="F50" s="24"/>
      <c r="G50" s="24"/>
      <c r="P50" s="63" t="s">
        <v>45</v>
      </c>
      <c r="Q50" s="64">
        <f ca="1">SUMPRODUCT(L16:L31,Q16:Q31)</f>
        <v>0</v>
      </c>
      <c r="R50" s="64">
        <f t="shared" ca="1" si="12"/>
        <v>0</v>
      </c>
      <c r="S50" s="10"/>
      <c r="T50" s="10"/>
      <c r="U50" s="10"/>
      <c r="V50" s="10"/>
      <c r="Y50" s="12"/>
      <c r="Z50" s="48">
        <v>42082</v>
      </c>
      <c r="AA50" s="49">
        <v>42083</v>
      </c>
      <c r="AB50" s="49">
        <v>42087</v>
      </c>
      <c r="AC50" s="49">
        <v>42124</v>
      </c>
      <c r="AD50" s="50">
        <v>0.93081000000000003</v>
      </c>
      <c r="AE50" s="50" t="s">
        <v>136</v>
      </c>
      <c r="AF50" s="51" t="s">
        <v>137</v>
      </c>
      <c r="AG50" s="43" t="b">
        <f t="shared" si="9"/>
        <v>0</v>
      </c>
      <c r="AH50" s="43" t="b">
        <f t="shared" ca="1" si="11"/>
        <v>0</v>
      </c>
      <c r="AI50" s="43">
        <f t="shared" ca="1" si="10"/>
        <v>0</v>
      </c>
    </row>
    <row r="51" spans="1:35" ht="15" thickBot="1" x14ac:dyDescent="0.4">
      <c r="E51" s="24"/>
      <c r="F51" s="24"/>
      <c r="G51" s="24"/>
      <c r="P51" s="63" t="s">
        <v>64</v>
      </c>
      <c r="Q51" s="64">
        <f ca="1">(Q50+Q52)/2</f>
        <v>0</v>
      </c>
      <c r="R51" s="64">
        <f t="shared" ca="1" si="12"/>
        <v>0</v>
      </c>
      <c r="S51" s="10"/>
      <c r="T51" s="10"/>
      <c r="U51" s="10"/>
      <c r="V51" s="10"/>
      <c r="Y51" s="12"/>
      <c r="Z51" s="48">
        <v>41991</v>
      </c>
      <c r="AA51" s="49">
        <v>41992</v>
      </c>
      <c r="AB51" s="49">
        <v>41996</v>
      </c>
      <c r="AC51" s="49">
        <v>42034</v>
      </c>
      <c r="AD51" s="50">
        <v>1.1349199999999999</v>
      </c>
      <c r="AE51" s="50" t="s">
        <v>136</v>
      </c>
      <c r="AF51" s="51" t="s">
        <v>137</v>
      </c>
      <c r="AG51" s="43" t="b">
        <f t="shared" si="9"/>
        <v>0</v>
      </c>
      <c r="AH51" s="43" t="b">
        <f t="shared" ca="1" si="11"/>
        <v>0</v>
      </c>
      <c r="AI51" s="43">
        <f t="shared" ca="1" si="10"/>
        <v>0</v>
      </c>
    </row>
    <row r="52" spans="1:35" ht="15" thickBot="1" x14ac:dyDescent="0.4">
      <c r="E52" s="24"/>
      <c r="F52" s="24"/>
      <c r="G52" s="24"/>
      <c r="P52" s="63" t="s">
        <v>46</v>
      </c>
      <c r="Q52" s="64">
        <f ca="1">SUM(R16:R31)</f>
        <v>0</v>
      </c>
      <c r="R52" s="64">
        <f t="shared" ca="1" si="12"/>
        <v>0</v>
      </c>
      <c r="S52" s="89"/>
      <c r="T52" s="89"/>
      <c r="U52" s="89"/>
      <c r="V52" s="89"/>
      <c r="Y52" s="12"/>
      <c r="Z52" s="48">
        <v>41900</v>
      </c>
      <c r="AA52" s="49">
        <v>41901</v>
      </c>
      <c r="AB52" s="49">
        <v>41905</v>
      </c>
      <c r="AC52" s="49">
        <v>41943</v>
      </c>
      <c r="AD52" s="50">
        <v>0.93918999999999997</v>
      </c>
      <c r="AE52" s="50" t="s">
        <v>136</v>
      </c>
      <c r="AF52" s="51" t="s">
        <v>137</v>
      </c>
      <c r="AG52" s="43" t="b">
        <f t="shared" si="9"/>
        <v>0</v>
      </c>
      <c r="AH52" s="43" t="b">
        <f t="shared" ca="1" si="11"/>
        <v>0</v>
      </c>
      <c r="AI52" s="43">
        <f t="shared" ca="1" si="10"/>
        <v>0</v>
      </c>
    </row>
    <row r="53" spans="1:35" ht="15" thickBot="1" x14ac:dyDescent="0.4">
      <c r="E53" s="24"/>
      <c r="F53" s="24"/>
      <c r="G53" s="24"/>
      <c r="P53" s="66" t="s">
        <v>65</v>
      </c>
      <c r="Q53" s="67" t="b">
        <f ca="1">Q48&gt;0</f>
        <v>0</v>
      </c>
      <c r="R53" s="10"/>
      <c r="S53" s="89"/>
      <c r="T53" s="89"/>
      <c r="U53" s="89"/>
      <c r="V53" s="89"/>
      <c r="Y53" s="12"/>
      <c r="Z53" s="48">
        <v>41809</v>
      </c>
      <c r="AA53" s="49">
        <v>41810</v>
      </c>
      <c r="AB53" s="49">
        <v>41814</v>
      </c>
      <c r="AC53" s="49">
        <v>41851</v>
      </c>
      <c r="AD53" s="50">
        <v>0.93669000000000002</v>
      </c>
      <c r="AE53" s="50" t="s">
        <v>136</v>
      </c>
      <c r="AF53" s="51" t="s">
        <v>137</v>
      </c>
      <c r="AG53" s="43" t="b">
        <f t="shared" si="9"/>
        <v>0</v>
      </c>
      <c r="AH53" s="43" t="b">
        <f t="shared" ca="1" si="11"/>
        <v>0</v>
      </c>
      <c r="AI53" s="43">
        <f t="shared" ca="1" si="10"/>
        <v>0</v>
      </c>
    </row>
    <row r="54" spans="1:35" ht="15" thickBot="1" x14ac:dyDescent="0.4">
      <c r="E54" s="24"/>
      <c r="F54" s="24"/>
      <c r="G54" s="24"/>
      <c r="P54" s="38" t="s">
        <v>66</v>
      </c>
      <c r="Q54" s="67" t="b">
        <f ca="1">IF(AND(B7,Q49=0),TRUE,FALSE)</f>
        <v>1</v>
      </c>
      <c r="R54" s="10"/>
      <c r="S54" s="89"/>
      <c r="T54" s="89"/>
      <c r="U54" s="89"/>
      <c r="V54" s="89"/>
      <c r="Y54" s="12"/>
      <c r="Z54" s="48">
        <v>41718</v>
      </c>
      <c r="AA54" s="49">
        <v>41719</v>
      </c>
      <c r="AB54" s="49">
        <v>41723</v>
      </c>
      <c r="AC54" s="49">
        <v>41759</v>
      </c>
      <c r="AD54" s="50">
        <v>0.82460999999999995</v>
      </c>
      <c r="AE54" s="50" t="s">
        <v>136</v>
      </c>
      <c r="AF54" s="51" t="s">
        <v>137</v>
      </c>
      <c r="AG54" s="43" t="b">
        <f t="shared" si="9"/>
        <v>0</v>
      </c>
      <c r="AH54" s="43" t="b">
        <f t="shared" ca="1" si="11"/>
        <v>0</v>
      </c>
      <c r="AI54" s="43">
        <f t="shared" ca="1" si="10"/>
        <v>0</v>
      </c>
    </row>
    <row r="55" spans="1:35" ht="15" thickBot="1" x14ac:dyDescent="0.4">
      <c r="E55" s="24"/>
      <c r="F55" s="24"/>
      <c r="G55" s="24"/>
      <c r="P55" s="66"/>
      <c r="Q55" s="68"/>
      <c r="R55" s="10"/>
      <c r="S55" s="65"/>
      <c r="T55" s="65"/>
      <c r="U55" s="65"/>
      <c r="Y55" s="12"/>
      <c r="Z55" s="48">
        <v>41627</v>
      </c>
      <c r="AA55" s="49">
        <v>41628</v>
      </c>
      <c r="AB55" s="49">
        <v>41632</v>
      </c>
      <c r="AC55" s="49">
        <v>41670</v>
      </c>
      <c r="AD55" s="50">
        <v>0.98024999999999995</v>
      </c>
      <c r="AE55" s="50" t="s">
        <v>136</v>
      </c>
      <c r="AF55" s="51" t="s">
        <v>137</v>
      </c>
      <c r="AG55" s="43" t="b">
        <f t="shared" si="9"/>
        <v>0</v>
      </c>
      <c r="AH55" s="43" t="b">
        <f t="shared" ca="1" si="11"/>
        <v>0</v>
      </c>
      <c r="AI55" s="43">
        <f t="shared" ca="1" si="10"/>
        <v>0</v>
      </c>
    </row>
    <row r="56" spans="1:35" ht="15" thickBot="1" x14ac:dyDescent="0.4">
      <c r="E56" s="24"/>
      <c r="F56" s="24"/>
      <c r="P56" s="66"/>
      <c r="Q56" s="68"/>
      <c r="R56" s="10"/>
      <c r="S56" s="65"/>
      <c r="T56" s="65"/>
      <c r="U56" s="65"/>
      <c r="Y56" s="12"/>
      <c r="Z56" s="48">
        <v>41536</v>
      </c>
      <c r="AA56" s="49">
        <v>41537</v>
      </c>
      <c r="AB56" s="49">
        <v>41541</v>
      </c>
      <c r="AC56" s="49">
        <v>41578</v>
      </c>
      <c r="AD56" s="50">
        <v>0.83794999999999997</v>
      </c>
      <c r="AE56" s="50" t="s">
        <v>136</v>
      </c>
      <c r="AF56" s="50" t="s">
        <v>137</v>
      </c>
      <c r="AG56" s="43" t="b">
        <f t="shared" si="9"/>
        <v>0</v>
      </c>
      <c r="AH56" s="43" t="b">
        <f t="shared" ca="1" si="11"/>
        <v>0</v>
      </c>
      <c r="AI56" s="43">
        <f t="shared" ca="1" si="10"/>
        <v>0</v>
      </c>
    </row>
    <row r="57" spans="1:35" ht="15" thickBot="1" x14ac:dyDescent="0.4">
      <c r="E57" s="24"/>
      <c r="F57" s="24"/>
      <c r="P57" s="66"/>
      <c r="Q57" s="68"/>
      <c r="R57" s="10"/>
      <c r="S57" s="65"/>
      <c r="T57" s="65"/>
      <c r="U57" s="65"/>
      <c r="Z57" s="57">
        <v>41445</v>
      </c>
      <c r="AA57" s="24">
        <v>41446</v>
      </c>
      <c r="AB57" s="24">
        <v>41450</v>
      </c>
      <c r="AC57" s="24">
        <v>41486</v>
      </c>
      <c r="AD57">
        <v>0.83911999999999998</v>
      </c>
      <c r="AE57" t="s">
        <v>136</v>
      </c>
      <c r="AF57" t="s">
        <v>137</v>
      </c>
      <c r="AG57" s="43" t="b">
        <f t="shared" si="9"/>
        <v>0</v>
      </c>
      <c r="AH57" s="43" t="b">
        <f t="shared" ca="1" si="11"/>
        <v>0</v>
      </c>
      <c r="AI57" s="43">
        <f t="shared" ca="1" si="10"/>
        <v>0</v>
      </c>
    </row>
    <row r="58" spans="1:35" ht="20" thickBot="1" x14ac:dyDescent="0.5">
      <c r="A58" s="69" t="s">
        <v>67</v>
      </c>
      <c r="Z58" s="57">
        <v>41347</v>
      </c>
      <c r="AA58" s="24">
        <v>41348</v>
      </c>
      <c r="AB58" s="24">
        <v>41352</v>
      </c>
      <c r="AC58" s="24">
        <v>41394</v>
      </c>
      <c r="AD58">
        <v>0.69372</v>
      </c>
      <c r="AE58" t="s">
        <v>136</v>
      </c>
      <c r="AF58" t="s">
        <v>137</v>
      </c>
      <c r="AG58" s="43" t="b">
        <f t="shared" si="9"/>
        <v>0</v>
      </c>
      <c r="AH58" s="43" t="b">
        <f t="shared" ca="1" si="11"/>
        <v>0</v>
      </c>
      <c r="AI58" s="43">
        <f t="shared" ca="1" si="10"/>
        <v>0</v>
      </c>
    </row>
    <row r="59" spans="1:35" ht="15" thickBot="1" x14ac:dyDescent="0.4">
      <c r="A59" s="70" t="s">
        <v>68</v>
      </c>
      <c r="Z59" s="57">
        <v>41263</v>
      </c>
      <c r="AA59" s="24">
        <v>41264</v>
      </c>
      <c r="AB59" s="24">
        <v>41269</v>
      </c>
      <c r="AC59" s="24">
        <v>41305</v>
      </c>
      <c r="AD59">
        <v>1.02183</v>
      </c>
      <c r="AE59" t="s">
        <v>136</v>
      </c>
      <c r="AF59" t="s">
        <v>137</v>
      </c>
      <c r="AG59" s="43" t="b">
        <f t="shared" si="9"/>
        <v>0</v>
      </c>
      <c r="AH59" s="43" t="b">
        <f t="shared" ca="1" si="11"/>
        <v>0</v>
      </c>
      <c r="AI59" s="43">
        <f t="shared" ca="1" si="10"/>
        <v>0</v>
      </c>
    </row>
    <row r="60" spans="1:35" ht="15" thickBot="1" x14ac:dyDescent="0.4">
      <c r="A60" s="71" t="s">
        <v>69</v>
      </c>
      <c r="Z60" s="57">
        <v>41172</v>
      </c>
      <c r="AA60" s="24">
        <v>41173</v>
      </c>
      <c r="AB60" s="24">
        <v>41177</v>
      </c>
      <c r="AC60" s="24">
        <v>41213</v>
      </c>
      <c r="AD60">
        <v>0.77944999999999998</v>
      </c>
      <c r="AE60" t="s">
        <v>136</v>
      </c>
      <c r="AF60" t="s">
        <v>137</v>
      </c>
      <c r="AG60" s="43" t="b">
        <f t="shared" si="9"/>
        <v>0</v>
      </c>
      <c r="AH60" s="43" t="b">
        <f t="shared" ca="1" si="11"/>
        <v>0</v>
      </c>
      <c r="AI60" s="43">
        <f t="shared" ca="1" si="10"/>
        <v>0</v>
      </c>
    </row>
    <row r="61" spans="1:35" ht="15" thickBot="1" x14ac:dyDescent="0.4">
      <c r="A61" s="71" t="s">
        <v>70</v>
      </c>
      <c r="Z61" s="57">
        <v>41074</v>
      </c>
      <c r="AA61" s="24">
        <v>41075</v>
      </c>
      <c r="AB61" s="24">
        <v>41079</v>
      </c>
      <c r="AC61" s="24">
        <v>41121</v>
      </c>
      <c r="AD61">
        <v>0.68825999999999998</v>
      </c>
      <c r="AE61" t="s">
        <v>136</v>
      </c>
      <c r="AF61" t="s">
        <v>137</v>
      </c>
      <c r="AG61" s="43" t="b">
        <f t="shared" si="9"/>
        <v>0</v>
      </c>
      <c r="AH61" s="43" t="b">
        <f t="shared" ca="1" si="11"/>
        <v>0</v>
      </c>
      <c r="AI61" s="43">
        <f t="shared" ca="1" si="10"/>
        <v>0</v>
      </c>
    </row>
    <row r="62" spans="1:35" ht="15" thickBot="1" x14ac:dyDescent="0.4">
      <c r="Z62" s="57">
        <v>40983</v>
      </c>
      <c r="AA62" s="24">
        <v>40984</v>
      </c>
      <c r="AB62" s="24">
        <v>40988</v>
      </c>
      <c r="AC62" s="24">
        <v>41029</v>
      </c>
      <c r="AD62">
        <v>0.61389000000000005</v>
      </c>
      <c r="AE62" t="s">
        <v>136</v>
      </c>
      <c r="AF62" t="s">
        <v>137</v>
      </c>
      <c r="AG62" s="43" t="b">
        <f t="shared" si="9"/>
        <v>0</v>
      </c>
      <c r="AH62" s="43" t="b">
        <f t="shared" ca="1" si="11"/>
        <v>0</v>
      </c>
      <c r="AI62" s="43">
        <f t="shared" ca="1" si="10"/>
        <v>0</v>
      </c>
    </row>
    <row r="63" spans="1:35" ht="15" thickBot="1" x14ac:dyDescent="0.4">
      <c r="Z63" s="57">
        <v>40892</v>
      </c>
      <c r="AA63" s="24">
        <v>40893</v>
      </c>
      <c r="AB63" s="24">
        <v>40897</v>
      </c>
      <c r="AC63" s="24">
        <v>40939</v>
      </c>
      <c r="AD63">
        <v>0.77012999999999998</v>
      </c>
      <c r="AE63" t="s">
        <v>136</v>
      </c>
      <c r="AF63" t="s">
        <v>137</v>
      </c>
      <c r="AG63" s="43" t="b">
        <f t="shared" si="9"/>
        <v>0</v>
      </c>
      <c r="AH63" s="43" t="b">
        <f t="shared" ca="1" si="11"/>
        <v>0</v>
      </c>
      <c r="AI63" s="43">
        <f t="shared" ca="1" si="10"/>
        <v>0</v>
      </c>
    </row>
    <row r="64" spans="1:35" ht="15" thickBot="1" x14ac:dyDescent="0.4">
      <c r="A64" s="72" t="s">
        <v>71</v>
      </c>
      <c r="Z64" s="57">
        <v>40801</v>
      </c>
      <c r="AA64" s="24">
        <v>40802</v>
      </c>
      <c r="AB64" s="24">
        <v>40806</v>
      </c>
      <c r="AC64" s="24">
        <v>40847</v>
      </c>
      <c r="AD64">
        <v>0.62495000000000001</v>
      </c>
      <c r="AE64" t="s">
        <v>136</v>
      </c>
      <c r="AF64" t="s">
        <v>137</v>
      </c>
      <c r="AG64" s="43" t="b">
        <f t="shared" si="9"/>
        <v>0</v>
      </c>
      <c r="AH64" s="43" t="b">
        <f t="shared" ca="1" si="11"/>
        <v>0</v>
      </c>
      <c r="AI64" s="43">
        <f t="shared" ca="1" si="10"/>
        <v>0</v>
      </c>
    </row>
    <row r="65" spans="1:35" ht="15" thickBot="1" x14ac:dyDescent="0.4">
      <c r="A65" t="s">
        <v>72</v>
      </c>
      <c r="B65" t="b">
        <f ca="1">Q53</f>
        <v>0</v>
      </c>
      <c r="C65" t="s">
        <v>73</v>
      </c>
      <c r="Z65" s="57">
        <v>40710</v>
      </c>
      <c r="AA65" s="24">
        <v>40711</v>
      </c>
      <c r="AB65" s="24">
        <v>40715</v>
      </c>
      <c r="AC65" s="24">
        <v>40753</v>
      </c>
      <c r="AD65">
        <v>0.62761999999999996</v>
      </c>
      <c r="AE65" t="s">
        <v>136</v>
      </c>
      <c r="AF65" t="s">
        <v>137</v>
      </c>
      <c r="AG65" s="43" t="b">
        <f t="shared" si="9"/>
        <v>0</v>
      </c>
      <c r="AH65" s="43" t="b">
        <f t="shared" ca="1" si="11"/>
        <v>0</v>
      </c>
      <c r="AI65" s="43">
        <f t="shared" ca="1" si="10"/>
        <v>0</v>
      </c>
    </row>
    <row r="66" spans="1:35" ht="15" thickBot="1" x14ac:dyDescent="0.4">
      <c r="B66" t="s">
        <v>74</v>
      </c>
      <c r="Z66" s="57">
        <v>40619</v>
      </c>
      <c r="AA66" s="24">
        <v>40620</v>
      </c>
      <c r="AB66" s="24">
        <v>40624</v>
      </c>
      <c r="AC66" s="24">
        <v>40662</v>
      </c>
      <c r="AD66">
        <v>0.55332000000000003</v>
      </c>
      <c r="AE66" t="s">
        <v>136</v>
      </c>
      <c r="AF66" t="s">
        <v>137</v>
      </c>
      <c r="AG66" s="43" t="b">
        <f t="shared" si="9"/>
        <v>0</v>
      </c>
      <c r="AH66" s="43" t="b">
        <f t="shared" ca="1" si="11"/>
        <v>0</v>
      </c>
      <c r="AI66" s="43">
        <f t="shared" ca="1" si="10"/>
        <v>0</v>
      </c>
    </row>
    <row r="67" spans="1:35" ht="15" thickBot="1" x14ac:dyDescent="0.4">
      <c r="Z67" s="57">
        <v>40528</v>
      </c>
      <c r="AA67" s="24">
        <v>40529</v>
      </c>
      <c r="AB67" s="24">
        <v>40533</v>
      </c>
      <c r="AC67" s="24">
        <v>40574</v>
      </c>
      <c r="AD67">
        <v>0.65276000000000001</v>
      </c>
      <c r="AE67" t="s">
        <v>136</v>
      </c>
      <c r="AF67" t="s">
        <v>137</v>
      </c>
      <c r="AG67" s="43" t="b">
        <f t="shared" si="9"/>
        <v>0</v>
      </c>
      <c r="AH67" s="43" t="b">
        <f t="shared" ca="1" si="11"/>
        <v>0</v>
      </c>
      <c r="AI67" s="43">
        <f t="shared" ca="1" si="10"/>
        <v>0</v>
      </c>
    </row>
    <row r="68" spans="1:35" ht="15" thickBot="1" x14ac:dyDescent="0.4">
      <c r="A68" s="72" t="s">
        <v>75</v>
      </c>
      <c r="Z68" s="57">
        <v>40437</v>
      </c>
      <c r="AA68" s="24">
        <v>40438</v>
      </c>
      <c r="AB68" s="24">
        <v>40442</v>
      </c>
      <c r="AC68" s="24">
        <v>40480</v>
      </c>
      <c r="AD68">
        <v>0.60213000000000005</v>
      </c>
      <c r="AE68" t="s">
        <v>136</v>
      </c>
      <c r="AF68" t="s">
        <v>137</v>
      </c>
      <c r="AG68" s="43" t="b">
        <f t="shared" si="9"/>
        <v>0</v>
      </c>
      <c r="AH68" s="43" t="b">
        <f t="shared" ca="1" si="11"/>
        <v>0</v>
      </c>
      <c r="AI68" s="43">
        <f t="shared" ca="1" si="10"/>
        <v>0</v>
      </c>
    </row>
    <row r="69" spans="1:35" ht="15" thickBot="1" x14ac:dyDescent="0.4">
      <c r="A69" t="s">
        <v>72</v>
      </c>
      <c r="B69" t="b">
        <f ca="1">Q54</f>
        <v>1</v>
      </c>
      <c r="C69" t="s">
        <v>73</v>
      </c>
      <c r="Z69" s="57">
        <v>40346</v>
      </c>
      <c r="AA69" s="24">
        <v>40347</v>
      </c>
      <c r="AB69" s="24">
        <v>40351</v>
      </c>
      <c r="AC69" s="24">
        <v>40389</v>
      </c>
      <c r="AD69">
        <v>0.53127999999999997</v>
      </c>
      <c r="AE69" t="s">
        <v>136</v>
      </c>
      <c r="AF69" t="s">
        <v>137</v>
      </c>
      <c r="AG69" s="43" t="b">
        <f t="shared" si="9"/>
        <v>0</v>
      </c>
      <c r="AH69" s="43" t="b">
        <f t="shared" ca="1" si="11"/>
        <v>0</v>
      </c>
      <c r="AI69" s="43">
        <f t="shared" ca="1" si="10"/>
        <v>0</v>
      </c>
    </row>
    <row r="70" spans="1:35" ht="15" thickBot="1" x14ac:dyDescent="0.4">
      <c r="B70" t="s">
        <v>76</v>
      </c>
      <c r="Z70" s="57">
        <v>40255</v>
      </c>
      <c r="AA70" s="24">
        <v>40256</v>
      </c>
      <c r="AB70" s="24">
        <v>40260</v>
      </c>
      <c r="AC70" s="24">
        <v>40298</v>
      </c>
      <c r="AD70">
        <v>0.48037999999999997</v>
      </c>
      <c r="AE70" t="s">
        <v>136</v>
      </c>
      <c r="AF70" t="s">
        <v>137</v>
      </c>
      <c r="AG70" s="43" t="b">
        <f t="shared" si="9"/>
        <v>0</v>
      </c>
      <c r="AH70" s="43" t="b">
        <f t="shared" ca="1" si="11"/>
        <v>0</v>
      </c>
      <c r="AI70" s="43">
        <f t="shared" ca="1" si="10"/>
        <v>0</v>
      </c>
    </row>
    <row r="71" spans="1:35" ht="15" thickBot="1" x14ac:dyDescent="0.4">
      <c r="A71" t="s">
        <v>77</v>
      </c>
      <c r="Z71" s="57">
        <v>40164</v>
      </c>
      <c r="AA71" s="24">
        <v>40165</v>
      </c>
      <c r="AB71" s="24">
        <v>40169</v>
      </c>
      <c r="AC71" s="24">
        <v>40207</v>
      </c>
      <c r="AD71">
        <v>0.59018999999999999</v>
      </c>
      <c r="AE71" t="s">
        <v>136</v>
      </c>
      <c r="AF71" t="s">
        <v>137</v>
      </c>
      <c r="AG71" s="43" t="b">
        <f t="shared" si="9"/>
        <v>0</v>
      </c>
      <c r="AH71" s="43" t="b">
        <f t="shared" ca="1" si="11"/>
        <v>0</v>
      </c>
      <c r="AI71" s="43">
        <f t="shared" ca="1" si="10"/>
        <v>0</v>
      </c>
    </row>
    <row r="72" spans="1:35" ht="15" thickBot="1" x14ac:dyDescent="0.4">
      <c r="Z72" s="57">
        <v>40073</v>
      </c>
      <c r="AA72" s="24">
        <v>40074</v>
      </c>
      <c r="AB72" s="24">
        <v>40078</v>
      </c>
      <c r="AC72" s="24">
        <v>40116</v>
      </c>
      <c r="AD72">
        <v>0.50832999999999995</v>
      </c>
      <c r="AE72" t="s">
        <v>136</v>
      </c>
      <c r="AF72" t="s">
        <v>137</v>
      </c>
      <c r="AG72" s="43" t="b">
        <f t="shared" si="9"/>
        <v>0</v>
      </c>
      <c r="AH72" s="43" t="b">
        <f t="shared" ca="1" si="11"/>
        <v>0</v>
      </c>
      <c r="AI72" s="43">
        <f t="shared" ca="1" si="10"/>
        <v>0</v>
      </c>
    </row>
    <row r="73" spans="1:35" ht="15" thickBot="1" x14ac:dyDescent="0.4">
      <c r="Z73" s="57">
        <v>39982</v>
      </c>
      <c r="AA73" s="24">
        <v>39983</v>
      </c>
      <c r="AB73" s="24">
        <v>39987</v>
      </c>
      <c r="AC73" s="24">
        <v>40025</v>
      </c>
      <c r="AD73">
        <v>0.51819000000000004</v>
      </c>
      <c r="AE73" t="s">
        <v>136</v>
      </c>
      <c r="AF73" t="s">
        <v>137</v>
      </c>
      <c r="AG73" s="43" t="b">
        <f t="shared" si="9"/>
        <v>0</v>
      </c>
      <c r="AH73" s="43" t="b">
        <f t="shared" ca="1" si="11"/>
        <v>0</v>
      </c>
      <c r="AI73" s="43">
        <f t="shared" ca="1" si="10"/>
        <v>0</v>
      </c>
    </row>
    <row r="74" spans="1:35" ht="20" thickBot="1" x14ac:dyDescent="0.5">
      <c r="A74" s="73" t="s">
        <v>78</v>
      </c>
      <c r="Z74" s="57">
        <v>39849</v>
      </c>
      <c r="AA74" s="24">
        <v>39892</v>
      </c>
      <c r="AB74" s="24">
        <v>39896</v>
      </c>
      <c r="AC74" s="24">
        <v>39933</v>
      </c>
      <c r="AD74">
        <v>0.56142999999999998</v>
      </c>
      <c r="AE74" t="s">
        <v>136</v>
      </c>
      <c r="AF74" t="s">
        <v>137</v>
      </c>
      <c r="AG74" s="43" t="b">
        <f t="shared" si="9"/>
        <v>0</v>
      </c>
      <c r="AH74" s="43" t="b">
        <f t="shared" ca="1" si="11"/>
        <v>0</v>
      </c>
      <c r="AI74" s="43">
        <f t="shared" ca="1" si="10"/>
        <v>0</v>
      </c>
    </row>
    <row r="75" spans="1:35" ht="15" thickBot="1" x14ac:dyDescent="0.4">
      <c r="A75" s="70"/>
      <c r="Z75" s="57">
        <v>39773</v>
      </c>
      <c r="AA75" s="24">
        <v>39801</v>
      </c>
      <c r="AB75" s="24">
        <v>39805</v>
      </c>
      <c r="AC75" s="24">
        <v>39843</v>
      </c>
      <c r="AD75">
        <v>0.71933999999999998</v>
      </c>
      <c r="AE75" t="s">
        <v>136</v>
      </c>
      <c r="AF75" t="s">
        <v>137</v>
      </c>
      <c r="AG75" s="43" t="b">
        <f t="shared" si="9"/>
        <v>0</v>
      </c>
      <c r="AH75" s="43" t="b">
        <f t="shared" ca="1" si="11"/>
        <v>0</v>
      </c>
      <c r="AI75" s="43">
        <f t="shared" ca="1" si="10"/>
        <v>0</v>
      </c>
    </row>
    <row r="76" spans="1:35" ht="15" thickBot="1" x14ac:dyDescent="0.4">
      <c r="A76" t="s">
        <v>79</v>
      </c>
      <c r="Z76" s="57">
        <v>39672</v>
      </c>
      <c r="AA76" s="24">
        <v>39710</v>
      </c>
      <c r="AB76" s="24">
        <v>39714</v>
      </c>
      <c r="AC76" s="24">
        <v>39752</v>
      </c>
      <c r="AD76">
        <v>0.69091999999999998</v>
      </c>
      <c r="AE76" t="s">
        <v>136</v>
      </c>
      <c r="AF76" t="s">
        <v>137</v>
      </c>
      <c r="AG76" s="43" t="b">
        <f t="shared" si="9"/>
        <v>0</v>
      </c>
      <c r="AH76" s="43" t="b">
        <f t="shared" ca="1" si="11"/>
        <v>0</v>
      </c>
      <c r="AI76" s="43">
        <f t="shared" ca="1" si="10"/>
        <v>0</v>
      </c>
    </row>
    <row r="77" spans="1:35" ht="15" thickBot="1" x14ac:dyDescent="0.4">
      <c r="Z77" s="57">
        <v>39588</v>
      </c>
      <c r="AA77" s="24">
        <v>39619</v>
      </c>
      <c r="AB77" s="24">
        <v>39623</v>
      </c>
      <c r="AC77" s="24">
        <v>39660</v>
      </c>
      <c r="AD77">
        <v>0.66922000000000004</v>
      </c>
      <c r="AE77" t="s">
        <v>136</v>
      </c>
      <c r="AF77" t="s">
        <v>137</v>
      </c>
      <c r="AG77" s="43" t="b">
        <f t="shared" si="9"/>
        <v>0</v>
      </c>
      <c r="AH77" s="43" t="b">
        <f t="shared" ca="1" si="11"/>
        <v>0</v>
      </c>
      <c r="AI77" s="43">
        <f t="shared" ca="1" si="10"/>
        <v>0</v>
      </c>
    </row>
    <row r="78" spans="1:35" ht="15" thickBot="1" x14ac:dyDescent="0.4">
      <c r="A78" t="s">
        <v>80</v>
      </c>
      <c r="Z78" s="57">
        <v>39490</v>
      </c>
      <c r="AA78" s="24">
        <v>39527</v>
      </c>
      <c r="AB78" s="24">
        <v>39532</v>
      </c>
      <c r="AC78" s="24">
        <v>39568</v>
      </c>
      <c r="AD78">
        <v>0.64195000000000002</v>
      </c>
      <c r="AE78" t="s">
        <v>136</v>
      </c>
      <c r="AF78" t="s">
        <v>137</v>
      </c>
      <c r="AG78" s="43" t="b">
        <f t="shared" si="9"/>
        <v>0</v>
      </c>
      <c r="AH78" s="43" t="b">
        <f t="shared" ca="1" si="11"/>
        <v>0</v>
      </c>
      <c r="AI78" s="43">
        <f t="shared" ca="1" si="10"/>
        <v>0</v>
      </c>
    </row>
    <row r="79" spans="1:35" ht="15" thickBot="1" x14ac:dyDescent="0.4">
      <c r="A79" t="s">
        <v>81</v>
      </c>
      <c r="Z79" s="57">
        <v>39394</v>
      </c>
      <c r="AA79" s="24">
        <v>39437</v>
      </c>
      <c r="AB79" s="24">
        <v>39442</v>
      </c>
      <c r="AC79" s="24">
        <v>39478</v>
      </c>
      <c r="AD79">
        <v>0.77541000000000004</v>
      </c>
      <c r="AE79" t="s">
        <v>136</v>
      </c>
      <c r="AF79" t="s">
        <v>137</v>
      </c>
      <c r="AG79" s="43" t="b">
        <f t="shared" si="9"/>
        <v>0</v>
      </c>
      <c r="AH79" s="43" t="b">
        <f t="shared" ca="1" si="11"/>
        <v>0</v>
      </c>
      <c r="AI79" s="43">
        <f t="shared" ca="1" si="10"/>
        <v>0</v>
      </c>
    </row>
    <row r="80" spans="1:35" ht="15" thickBot="1" x14ac:dyDescent="0.4">
      <c r="A80" t="s">
        <v>82</v>
      </c>
      <c r="Z80" s="57">
        <v>39302</v>
      </c>
      <c r="AA80" s="24">
        <v>39346</v>
      </c>
      <c r="AB80" s="24">
        <v>39350</v>
      </c>
      <c r="AC80" s="24">
        <v>39386</v>
      </c>
      <c r="AD80">
        <v>0.71872000000000003</v>
      </c>
      <c r="AE80" t="s">
        <v>136</v>
      </c>
      <c r="AF80" t="s">
        <v>137</v>
      </c>
      <c r="AG80" s="43" t="b">
        <f t="shared" si="9"/>
        <v>0</v>
      </c>
      <c r="AH80" s="43" t="b">
        <f t="shared" ca="1" si="11"/>
        <v>0</v>
      </c>
      <c r="AI80" s="43">
        <f t="shared" ca="1" si="10"/>
        <v>0</v>
      </c>
    </row>
    <row r="81" spans="26:35" ht="15" thickBot="1" x14ac:dyDescent="0.4">
      <c r="Z81" s="57">
        <v>39213</v>
      </c>
      <c r="AA81" s="24">
        <v>39248</v>
      </c>
      <c r="AB81" s="24">
        <v>39252</v>
      </c>
      <c r="AC81" s="24">
        <v>39294</v>
      </c>
      <c r="AD81">
        <v>0.65559999999999996</v>
      </c>
      <c r="AE81" t="s">
        <v>136</v>
      </c>
      <c r="AF81" t="s">
        <v>137</v>
      </c>
      <c r="AG81" s="43" t="b">
        <f t="shared" ref="AG81:AG95" si="13">AF81="Regular Cash"</f>
        <v>0</v>
      </c>
      <c r="AH81" s="43" t="b">
        <f t="shared" ca="1" si="11"/>
        <v>0</v>
      </c>
      <c r="AI81" s="43">
        <f t="shared" ref="AI81:AI95" ca="1" si="14">IF(AND(AG81,AH81),AD81,0)</f>
        <v>0</v>
      </c>
    </row>
    <row r="82" spans="26:35" ht="15" thickBot="1" x14ac:dyDescent="0.4">
      <c r="Z82" s="57">
        <v>39119</v>
      </c>
      <c r="AA82" s="24">
        <v>39157</v>
      </c>
      <c r="AB82" s="24">
        <v>39161</v>
      </c>
      <c r="AC82" s="24">
        <v>39202</v>
      </c>
      <c r="AD82">
        <v>0.55127000000000004</v>
      </c>
      <c r="AE82" t="s">
        <v>136</v>
      </c>
      <c r="AF82" t="s">
        <v>137</v>
      </c>
      <c r="AG82" s="43" t="b">
        <f t="shared" si="13"/>
        <v>0</v>
      </c>
      <c r="AH82" s="43" t="b">
        <f t="shared" ref="AH82:AH95" ca="1" si="15">AND(AA82&gt;TODAY(),AA82&lt;=$B$3,AG82)</f>
        <v>0</v>
      </c>
      <c r="AI82" s="43">
        <f t="shared" ca="1" si="14"/>
        <v>0</v>
      </c>
    </row>
    <row r="83" spans="26:35" ht="15" thickBot="1" x14ac:dyDescent="0.4">
      <c r="Z83" s="57">
        <v>39027</v>
      </c>
      <c r="AA83" s="24">
        <v>39066</v>
      </c>
      <c r="AB83" s="24">
        <v>39070</v>
      </c>
      <c r="AC83" s="24">
        <v>39113</v>
      </c>
      <c r="AD83">
        <v>0.79264999999999997</v>
      </c>
      <c r="AE83" t="s">
        <v>136</v>
      </c>
      <c r="AF83" t="s">
        <v>137</v>
      </c>
      <c r="AG83" s="43" t="b">
        <f t="shared" si="13"/>
        <v>0</v>
      </c>
      <c r="AH83" s="43" t="b">
        <f t="shared" ca="1" si="15"/>
        <v>0</v>
      </c>
      <c r="AI83" s="43">
        <f t="shared" ca="1" si="14"/>
        <v>0</v>
      </c>
    </row>
    <row r="84" spans="26:35" ht="15" thickBot="1" x14ac:dyDescent="0.4">
      <c r="Z84" s="57">
        <v>38936</v>
      </c>
      <c r="AA84" s="24">
        <v>38975</v>
      </c>
      <c r="AB84" s="24">
        <v>38979</v>
      </c>
      <c r="AC84" s="24">
        <v>39021</v>
      </c>
      <c r="AD84">
        <v>0.57933999999999997</v>
      </c>
      <c r="AE84" t="s">
        <v>136</v>
      </c>
      <c r="AF84" t="s">
        <v>137</v>
      </c>
      <c r="AG84" s="43" t="b">
        <f t="shared" si="13"/>
        <v>0</v>
      </c>
      <c r="AH84" s="43" t="b">
        <f t="shared" ca="1" si="15"/>
        <v>0</v>
      </c>
      <c r="AI84" s="43">
        <f t="shared" ca="1" si="14"/>
        <v>0</v>
      </c>
    </row>
    <row r="85" spans="26:35" ht="15" thickBot="1" x14ac:dyDescent="0.4">
      <c r="Z85" s="57">
        <v>38852</v>
      </c>
      <c r="AA85" s="24">
        <v>38884</v>
      </c>
      <c r="AB85" s="24">
        <v>38888</v>
      </c>
      <c r="AC85" s="24">
        <v>38929</v>
      </c>
      <c r="AD85">
        <v>0.55547000000000002</v>
      </c>
      <c r="AE85" t="s">
        <v>136</v>
      </c>
      <c r="AF85" t="s">
        <v>137</v>
      </c>
      <c r="AG85" s="43" t="b">
        <f t="shared" si="13"/>
        <v>0</v>
      </c>
      <c r="AH85" s="43" t="b">
        <f t="shared" ca="1" si="15"/>
        <v>0</v>
      </c>
      <c r="AI85" s="43">
        <f t="shared" ca="1" si="14"/>
        <v>0</v>
      </c>
    </row>
    <row r="86" spans="26:35" ht="15" thickBot="1" x14ac:dyDescent="0.4">
      <c r="Z86" s="57">
        <v>38755</v>
      </c>
      <c r="AA86" s="24">
        <v>38793</v>
      </c>
      <c r="AB86" s="24">
        <v>38797</v>
      </c>
      <c r="AC86" s="24">
        <v>38835</v>
      </c>
      <c r="AD86">
        <v>0.51946999999999999</v>
      </c>
      <c r="AE86" t="s">
        <v>136</v>
      </c>
      <c r="AF86" t="s">
        <v>137</v>
      </c>
      <c r="AG86" s="43" t="b">
        <f t="shared" si="13"/>
        <v>0</v>
      </c>
      <c r="AH86" s="43" t="b">
        <f t="shared" ca="1" si="15"/>
        <v>0</v>
      </c>
      <c r="AI86" s="43">
        <f t="shared" ca="1" si="14"/>
        <v>0</v>
      </c>
    </row>
    <row r="87" spans="26:35" ht="15" thickBot="1" x14ac:dyDescent="0.4">
      <c r="Z87" s="57">
        <v>38670</v>
      </c>
      <c r="AA87" s="24">
        <v>38702</v>
      </c>
      <c r="AB87" s="24">
        <v>38706</v>
      </c>
      <c r="AC87" s="24">
        <v>38748</v>
      </c>
      <c r="AD87">
        <v>0.67166999999999999</v>
      </c>
      <c r="AE87" t="s">
        <v>136</v>
      </c>
      <c r="AF87" t="s">
        <v>137</v>
      </c>
      <c r="AG87" s="43" t="b">
        <f t="shared" si="13"/>
        <v>0</v>
      </c>
      <c r="AH87" s="43" t="b">
        <f t="shared" ca="1" si="15"/>
        <v>0</v>
      </c>
      <c r="AI87" s="43">
        <f t="shared" ca="1" si="14"/>
        <v>0</v>
      </c>
    </row>
    <row r="88" spans="26:35" ht="15" thickBot="1" x14ac:dyDescent="0.4">
      <c r="Z88" s="57">
        <v>38581</v>
      </c>
      <c r="AA88" s="24">
        <v>38611</v>
      </c>
      <c r="AB88" s="24">
        <v>38615</v>
      </c>
      <c r="AC88" s="24">
        <v>38656</v>
      </c>
      <c r="AD88">
        <v>0.52168999999999999</v>
      </c>
      <c r="AE88" t="s">
        <v>136</v>
      </c>
      <c r="AF88" t="s">
        <v>137</v>
      </c>
      <c r="AG88" s="43" t="b">
        <f t="shared" si="13"/>
        <v>0</v>
      </c>
      <c r="AH88" s="43" t="b">
        <f t="shared" ca="1" si="15"/>
        <v>0</v>
      </c>
      <c r="AI88" s="43">
        <f t="shared" ca="1" si="14"/>
        <v>0</v>
      </c>
    </row>
    <row r="89" spans="26:35" ht="15" thickBot="1" x14ac:dyDescent="0.4">
      <c r="Z89" s="57">
        <v>38485</v>
      </c>
      <c r="AA89" s="24">
        <v>38520</v>
      </c>
      <c r="AB89" s="24">
        <v>38524</v>
      </c>
      <c r="AC89" s="24">
        <v>38562</v>
      </c>
      <c r="AD89">
        <v>0.48762</v>
      </c>
      <c r="AE89" t="s">
        <v>136</v>
      </c>
      <c r="AF89" t="s">
        <v>137</v>
      </c>
      <c r="AG89" s="43" t="b">
        <f t="shared" si="13"/>
        <v>0</v>
      </c>
      <c r="AH89" s="43" t="b">
        <f t="shared" ca="1" si="15"/>
        <v>0</v>
      </c>
      <c r="AI89" s="43">
        <f t="shared" ca="1" si="14"/>
        <v>0</v>
      </c>
    </row>
    <row r="90" spans="26:35" ht="15" thickBot="1" x14ac:dyDescent="0.4">
      <c r="Z90" s="57">
        <v>38398</v>
      </c>
      <c r="AA90" s="24">
        <v>38429</v>
      </c>
      <c r="AB90" s="24">
        <v>38433</v>
      </c>
      <c r="AC90" s="24">
        <v>38471</v>
      </c>
      <c r="AD90">
        <v>0.46709000000000001</v>
      </c>
      <c r="AE90" t="s">
        <v>136</v>
      </c>
      <c r="AF90" t="s">
        <v>137</v>
      </c>
      <c r="AG90" s="43" t="b">
        <f t="shared" si="13"/>
        <v>0</v>
      </c>
      <c r="AH90" s="43" t="b">
        <f t="shared" ca="1" si="15"/>
        <v>0</v>
      </c>
      <c r="AI90" s="43">
        <f t="shared" ca="1" si="14"/>
        <v>0</v>
      </c>
    </row>
    <row r="91" spans="26:35" ht="15" thickBot="1" x14ac:dyDescent="0.4">
      <c r="Z91" s="57">
        <v>38301</v>
      </c>
      <c r="AA91" s="24">
        <v>38338</v>
      </c>
      <c r="AB91" s="24">
        <v>38342</v>
      </c>
      <c r="AC91" s="24">
        <v>38383</v>
      </c>
      <c r="AD91">
        <v>0.56789000000000001</v>
      </c>
      <c r="AE91" t="s">
        <v>136</v>
      </c>
      <c r="AF91" t="s">
        <v>137</v>
      </c>
      <c r="AG91" s="43" t="b">
        <f t="shared" si="13"/>
        <v>0</v>
      </c>
      <c r="AH91" s="43" t="b">
        <f t="shared" ca="1" si="15"/>
        <v>0</v>
      </c>
      <c r="AI91" s="43">
        <f t="shared" ca="1" si="14"/>
        <v>0</v>
      </c>
    </row>
    <row r="92" spans="26:35" ht="15" thickBot="1" x14ac:dyDescent="0.4">
      <c r="Z92" s="57">
        <v>38302</v>
      </c>
      <c r="AA92" s="24">
        <v>38306</v>
      </c>
      <c r="AB92" s="24">
        <v>38308</v>
      </c>
      <c r="AC92" s="24">
        <v>38323</v>
      </c>
      <c r="AD92">
        <v>0.35102</v>
      </c>
      <c r="AE92" t="s">
        <v>138</v>
      </c>
      <c r="AF92" t="s">
        <v>139</v>
      </c>
      <c r="AG92" s="43" t="b">
        <f t="shared" si="13"/>
        <v>0</v>
      </c>
      <c r="AH92" s="43" t="b">
        <f t="shared" ca="1" si="15"/>
        <v>0</v>
      </c>
      <c r="AI92" s="43">
        <f t="shared" ca="1" si="14"/>
        <v>0</v>
      </c>
    </row>
    <row r="93" spans="26:35" ht="15" thickBot="1" x14ac:dyDescent="0.4">
      <c r="Z93" s="57">
        <v>38212</v>
      </c>
      <c r="AA93" s="24">
        <v>38247</v>
      </c>
      <c r="AB93" s="24">
        <v>38251</v>
      </c>
      <c r="AC93" s="24">
        <v>38289</v>
      </c>
      <c r="AD93">
        <v>0.46877999999999997</v>
      </c>
      <c r="AE93" t="s">
        <v>136</v>
      </c>
      <c r="AF93" t="s">
        <v>137</v>
      </c>
      <c r="AG93" s="43" t="b">
        <f t="shared" si="13"/>
        <v>0</v>
      </c>
      <c r="AH93" s="43" t="b">
        <f t="shared" ca="1" si="15"/>
        <v>0</v>
      </c>
      <c r="AI93" s="43">
        <f t="shared" ca="1" si="14"/>
        <v>0</v>
      </c>
    </row>
    <row r="94" spans="26:35" ht="15" thickBot="1" x14ac:dyDescent="0.4">
      <c r="Z94" s="57">
        <v>38120</v>
      </c>
      <c r="AA94" s="24">
        <v>38156</v>
      </c>
      <c r="AB94" s="24">
        <v>38160</v>
      </c>
      <c r="AC94" s="24">
        <v>38198</v>
      </c>
      <c r="AD94">
        <v>0.41376000000000002</v>
      </c>
      <c r="AE94" t="s">
        <v>136</v>
      </c>
      <c r="AF94" t="s">
        <v>137</v>
      </c>
      <c r="AG94" s="43" t="b">
        <f t="shared" si="13"/>
        <v>0</v>
      </c>
      <c r="AH94" s="43" t="b">
        <f t="shared" ca="1" si="15"/>
        <v>0</v>
      </c>
      <c r="AI94" s="43">
        <f t="shared" ca="1" si="14"/>
        <v>0</v>
      </c>
    </row>
    <row r="95" spans="26:35" ht="15" thickBot="1" x14ac:dyDescent="0.4">
      <c r="Z95" s="57">
        <v>38030</v>
      </c>
      <c r="AA95" s="24">
        <v>38065</v>
      </c>
      <c r="AB95" s="24">
        <v>38069</v>
      </c>
      <c r="AC95" s="24">
        <v>38107</v>
      </c>
      <c r="AD95">
        <v>0.39476</v>
      </c>
      <c r="AE95" t="s">
        <v>136</v>
      </c>
      <c r="AF95" t="s">
        <v>137</v>
      </c>
      <c r="AG95" s="43" t="b">
        <f t="shared" si="13"/>
        <v>0</v>
      </c>
      <c r="AH95" s="43" t="b">
        <f t="shared" ca="1" si="15"/>
        <v>0</v>
      </c>
      <c r="AI95" s="43">
        <f t="shared" ca="1" si="14"/>
        <v>0</v>
      </c>
    </row>
    <row r="96" spans="26:35" x14ac:dyDescent="0.35">
      <c r="Z96" s="57">
        <v>37945</v>
      </c>
      <c r="AA96" s="24">
        <v>37974</v>
      </c>
      <c r="AB96" s="24">
        <v>37978</v>
      </c>
      <c r="AC96" s="24">
        <v>38016</v>
      </c>
      <c r="AD96">
        <v>0.51558999999999999</v>
      </c>
      <c r="AE96" t="s">
        <v>136</v>
      </c>
      <c r="AF96" t="s">
        <v>137</v>
      </c>
      <c r="AI96" s="20"/>
    </row>
    <row r="97" spans="26:35" x14ac:dyDescent="0.35">
      <c r="Z97" s="57">
        <v>37882</v>
      </c>
      <c r="AA97" s="24">
        <v>37883</v>
      </c>
      <c r="AB97" s="24">
        <v>37887</v>
      </c>
      <c r="AC97" s="24">
        <v>37925</v>
      </c>
      <c r="AD97">
        <v>0.40006000000000003</v>
      </c>
      <c r="AE97" t="s">
        <v>136</v>
      </c>
      <c r="AF97" t="s">
        <v>137</v>
      </c>
      <c r="AI97" s="20"/>
    </row>
    <row r="98" spans="26:35" x14ac:dyDescent="0.35">
      <c r="Z98" s="57">
        <v>37791</v>
      </c>
      <c r="AA98" s="24">
        <v>37792</v>
      </c>
      <c r="AB98" s="24">
        <v>37796</v>
      </c>
      <c r="AC98" s="24">
        <v>37833</v>
      </c>
      <c r="AD98">
        <v>0.36025000000000001</v>
      </c>
      <c r="AE98" t="s">
        <v>136</v>
      </c>
      <c r="AF98" t="s">
        <v>137</v>
      </c>
      <c r="AI98" s="20"/>
    </row>
    <row r="99" spans="26:35" x14ac:dyDescent="0.35">
      <c r="Z99" s="57">
        <v>37665</v>
      </c>
      <c r="AA99" s="24">
        <v>37701</v>
      </c>
      <c r="AB99" s="24">
        <v>37705</v>
      </c>
      <c r="AC99" s="24">
        <v>37741</v>
      </c>
      <c r="AD99">
        <v>0.35437999999999997</v>
      </c>
      <c r="AE99" t="s">
        <v>136</v>
      </c>
      <c r="AF99" t="s">
        <v>137</v>
      </c>
      <c r="AI99" s="20"/>
    </row>
    <row r="100" spans="26:35" x14ac:dyDescent="0.35">
      <c r="Z100" s="57">
        <v>37579</v>
      </c>
      <c r="AA100" s="24">
        <v>37610</v>
      </c>
      <c r="AB100" s="24">
        <v>37614</v>
      </c>
      <c r="AC100" s="24">
        <v>37652</v>
      </c>
      <c r="AD100">
        <v>0.43584000000000001</v>
      </c>
      <c r="AE100" t="s">
        <v>136</v>
      </c>
      <c r="AF100" t="s">
        <v>137</v>
      </c>
      <c r="AI100" s="20"/>
    </row>
    <row r="101" spans="26:35" x14ac:dyDescent="0.35">
      <c r="Z101" s="57">
        <v>37518</v>
      </c>
      <c r="AA101" s="24">
        <v>37519</v>
      </c>
      <c r="AB101" s="24">
        <v>37523</v>
      </c>
      <c r="AC101" s="24">
        <v>37560</v>
      </c>
      <c r="AD101">
        <v>0.37809999999999999</v>
      </c>
      <c r="AE101" t="s">
        <v>136</v>
      </c>
      <c r="AF101" t="s">
        <v>137</v>
      </c>
      <c r="AI101" s="20"/>
    </row>
    <row r="102" spans="26:35" x14ac:dyDescent="0.35">
      <c r="Z102" s="57">
        <v>37427</v>
      </c>
      <c r="AA102" s="24">
        <v>37428</v>
      </c>
      <c r="AB102" s="24">
        <v>37432</v>
      </c>
      <c r="AC102" s="24">
        <v>37468</v>
      </c>
      <c r="AD102">
        <v>0.35337000000000002</v>
      </c>
      <c r="AE102" t="s">
        <v>136</v>
      </c>
      <c r="AF102" t="s">
        <v>137</v>
      </c>
      <c r="AI102" s="20"/>
    </row>
    <row r="103" spans="26:35" x14ac:dyDescent="0.35">
      <c r="Z103" s="57">
        <v>37330</v>
      </c>
      <c r="AA103" s="24">
        <v>37330</v>
      </c>
      <c r="AB103" s="24">
        <v>37334</v>
      </c>
      <c r="AC103" s="24">
        <v>37376</v>
      </c>
      <c r="AD103">
        <v>0.33098</v>
      </c>
      <c r="AE103" t="s">
        <v>136</v>
      </c>
      <c r="AF103" t="s">
        <v>137</v>
      </c>
      <c r="AI103" s="20"/>
    </row>
    <row r="104" spans="26:35" x14ac:dyDescent="0.35">
      <c r="Z104" s="57">
        <v>37245</v>
      </c>
      <c r="AA104" s="24">
        <v>37246</v>
      </c>
      <c r="AB104" s="24">
        <v>37251</v>
      </c>
      <c r="AC104" s="24">
        <v>37287</v>
      </c>
      <c r="AD104">
        <v>0.39277000000000001</v>
      </c>
      <c r="AE104" t="s">
        <v>136</v>
      </c>
      <c r="AF104" t="s">
        <v>137</v>
      </c>
      <c r="AI104" s="20"/>
    </row>
    <row r="105" spans="26:35" x14ac:dyDescent="0.35">
      <c r="Z105" s="57">
        <v>37154</v>
      </c>
      <c r="AA105" s="24">
        <v>37155</v>
      </c>
      <c r="AB105" s="24">
        <v>37159</v>
      </c>
      <c r="AC105" s="24">
        <v>37195</v>
      </c>
      <c r="AD105">
        <v>0.36899999999999999</v>
      </c>
      <c r="AE105" t="s">
        <v>136</v>
      </c>
      <c r="AF105" t="s">
        <v>137</v>
      </c>
      <c r="AI105" s="20"/>
    </row>
    <row r="106" spans="26:35" x14ac:dyDescent="0.35">
      <c r="Z106" s="57">
        <v>37056</v>
      </c>
      <c r="AA106" s="24">
        <v>37057</v>
      </c>
      <c r="AB106" s="24">
        <v>37061</v>
      </c>
      <c r="AC106" s="24">
        <v>37103</v>
      </c>
      <c r="AD106">
        <v>0.34644000000000003</v>
      </c>
      <c r="AE106" t="s">
        <v>136</v>
      </c>
      <c r="AF106" t="s">
        <v>137</v>
      </c>
      <c r="AI106" s="20"/>
    </row>
    <row r="107" spans="26:35" x14ac:dyDescent="0.35">
      <c r="Z107" s="57">
        <v>36965</v>
      </c>
      <c r="AA107" s="24">
        <v>36966</v>
      </c>
      <c r="AB107" s="24">
        <v>36970</v>
      </c>
      <c r="AC107" s="24">
        <v>37011</v>
      </c>
      <c r="AD107">
        <v>0.31551000000000001</v>
      </c>
      <c r="AE107" t="s">
        <v>136</v>
      </c>
      <c r="AF107" t="s">
        <v>137</v>
      </c>
      <c r="AI107" s="20"/>
    </row>
    <row r="108" spans="26:35" x14ac:dyDescent="0.35">
      <c r="Z108" s="57">
        <v>36875</v>
      </c>
      <c r="AA108" s="24">
        <v>36875</v>
      </c>
      <c r="AB108" s="24">
        <v>36879</v>
      </c>
      <c r="AC108" s="24">
        <v>36922</v>
      </c>
      <c r="AD108">
        <v>0.41132999999999997</v>
      </c>
      <c r="AE108" t="s">
        <v>136</v>
      </c>
      <c r="AF108" t="s">
        <v>137</v>
      </c>
      <c r="AI108" s="20"/>
    </row>
    <row r="109" spans="26:35" x14ac:dyDescent="0.35">
      <c r="Z109" s="57">
        <v>36761</v>
      </c>
      <c r="AA109" s="24">
        <v>36784</v>
      </c>
      <c r="AB109" s="24">
        <v>36788</v>
      </c>
      <c r="AC109" s="24">
        <v>36830</v>
      </c>
      <c r="AD109">
        <v>0.37531900000000001</v>
      </c>
      <c r="AE109" t="s">
        <v>136</v>
      </c>
      <c r="AF109" t="s">
        <v>137</v>
      </c>
      <c r="AI109" s="20"/>
    </row>
    <row r="110" spans="26:35" x14ac:dyDescent="0.35">
      <c r="Z110" s="57">
        <v>36678</v>
      </c>
      <c r="AA110" s="24">
        <v>36693</v>
      </c>
      <c r="AB110" s="24">
        <v>36697</v>
      </c>
      <c r="AC110" s="24">
        <v>36738</v>
      </c>
      <c r="AD110">
        <v>0.348408</v>
      </c>
      <c r="AE110" t="s">
        <v>136</v>
      </c>
      <c r="AF110" t="s">
        <v>137</v>
      </c>
      <c r="AI110" s="20"/>
    </row>
    <row r="111" spans="26:35" x14ac:dyDescent="0.35">
      <c r="Z111" s="57">
        <v>36585</v>
      </c>
      <c r="AA111" s="24">
        <v>36602</v>
      </c>
      <c r="AB111" s="24">
        <v>36606</v>
      </c>
      <c r="AC111" s="24">
        <v>36644</v>
      </c>
      <c r="AD111">
        <v>0.37082300000000001</v>
      </c>
      <c r="AE111" t="s">
        <v>136</v>
      </c>
      <c r="AF111" t="s">
        <v>137</v>
      </c>
      <c r="AI111" s="20"/>
    </row>
    <row r="112" spans="26:35" x14ac:dyDescent="0.35">
      <c r="Z112" s="57">
        <v>36496</v>
      </c>
      <c r="AA112" s="24">
        <v>36511</v>
      </c>
      <c r="AB112" s="24">
        <v>36515</v>
      </c>
      <c r="AC112" s="24">
        <v>36556</v>
      </c>
      <c r="AD112">
        <v>0.34755200000000003</v>
      </c>
      <c r="AE112" t="s">
        <v>136</v>
      </c>
      <c r="AF112" t="s">
        <v>137</v>
      </c>
      <c r="AI112" s="20"/>
    </row>
    <row r="113" spans="1:35" x14ac:dyDescent="0.35">
      <c r="Z113" s="57">
        <v>36420</v>
      </c>
      <c r="AA113" s="24">
        <v>36420</v>
      </c>
      <c r="AB113" s="24">
        <v>36424</v>
      </c>
      <c r="AC113" s="24">
        <v>36462</v>
      </c>
      <c r="AD113">
        <v>0.37221799999999999</v>
      </c>
      <c r="AE113" t="s">
        <v>136</v>
      </c>
      <c r="AF113" t="s">
        <v>137</v>
      </c>
      <c r="AI113" s="20"/>
    </row>
    <row r="114" spans="1:35" x14ac:dyDescent="0.35">
      <c r="Z114" s="57">
        <v>36329</v>
      </c>
      <c r="AA114" s="24">
        <v>36329</v>
      </c>
      <c r="AB114" s="24">
        <v>36333</v>
      </c>
      <c r="AC114" s="24">
        <v>36371</v>
      </c>
      <c r="AD114">
        <v>0.40497</v>
      </c>
      <c r="AE114" t="s">
        <v>136</v>
      </c>
      <c r="AF114" t="s">
        <v>137</v>
      </c>
      <c r="AI114" s="20"/>
    </row>
    <row r="115" spans="1:35" x14ac:dyDescent="0.35">
      <c r="Z115" s="57">
        <v>36227</v>
      </c>
      <c r="AA115" s="24">
        <v>36238</v>
      </c>
      <c r="AB115" s="24">
        <v>36242</v>
      </c>
      <c r="AC115" s="24">
        <v>36280</v>
      </c>
      <c r="AD115">
        <v>0.319853</v>
      </c>
      <c r="AE115" t="s">
        <v>136</v>
      </c>
      <c r="AF115" t="s">
        <v>137</v>
      </c>
      <c r="AI115" s="20"/>
    </row>
    <row r="116" spans="1:35" x14ac:dyDescent="0.35">
      <c r="Z116" s="57">
        <v>36140</v>
      </c>
      <c r="AA116" s="24">
        <v>36147</v>
      </c>
      <c r="AB116" s="24">
        <v>36151</v>
      </c>
      <c r="AC116" s="24">
        <v>36189</v>
      </c>
      <c r="AD116">
        <v>0.39182299999999998</v>
      </c>
      <c r="AE116" t="s">
        <v>136</v>
      </c>
      <c r="AF116" t="s">
        <v>137</v>
      </c>
      <c r="AI116" s="20"/>
    </row>
    <row r="117" spans="1:35" x14ac:dyDescent="0.35">
      <c r="Z117" s="57">
        <v>36048</v>
      </c>
      <c r="AA117" s="24">
        <v>36056</v>
      </c>
      <c r="AB117" s="24">
        <v>36060</v>
      </c>
      <c r="AC117" s="24">
        <v>36098</v>
      </c>
      <c r="AD117">
        <v>0.35853000000000002</v>
      </c>
      <c r="AE117" t="s">
        <v>136</v>
      </c>
      <c r="AF117" t="s">
        <v>137</v>
      </c>
      <c r="AI117" s="20"/>
    </row>
    <row r="118" spans="1:35" x14ac:dyDescent="0.35">
      <c r="Z118" s="57">
        <v>35955</v>
      </c>
      <c r="AA118" s="24">
        <v>35965</v>
      </c>
      <c r="AB118" s="24">
        <v>35969</v>
      </c>
      <c r="AC118" s="24">
        <v>36007</v>
      </c>
      <c r="AD118">
        <v>0.35200999999999999</v>
      </c>
      <c r="AE118" t="s">
        <v>136</v>
      </c>
      <c r="AF118" t="s">
        <v>137</v>
      </c>
      <c r="AI118" s="20"/>
    </row>
    <row r="119" spans="1:35" x14ac:dyDescent="0.35">
      <c r="A119" t="s">
        <v>83</v>
      </c>
      <c r="Z119" s="57">
        <v>35873</v>
      </c>
      <c r="AA119" s="24">
        <v>35874</v>
      </c>
      <c r="AB119" s="24">
        <v>35878</v>
      </c>
      <c r="AC119" s="24">
        <v>35915</v>
      </c>
      <c r="AD119">
        <v>0.31342100000000001</v>
      </c>
      <c r="AE119" t="s">
        <v>136</v>
      </c>
      <c r="AF119" t="s">
        <v>137</v>
      </c>
      <c r="AI119" s="20"/>
    </row>
    <row r="120" spans="1:35" x14ac:dyDescent="0.35">
      <c r="Z120" s="57">
        <v>35781</v>
      </c>
      <c r="AA120" s="24">
        <v>35783</v>
      </c>
      <c r="AB120" s="24">
        <v>35787</v>
      </c>
      <c r="AC120" s="24">
        <v>35826</v>
      </c>
      <c r="AD120">
        <v>0.37950400000000001</v>
      </c>
      <c r="AE120" t="s">
        <v>136</v>
      </c>
      <c r="AF120" t="s">
        <v>137</v>
      </c>
      <c r="AI120" s="20"/>
    </row>
    <row r="121" spans="1:35" x14ac:dyDescent="0.35">
      <c r="Z121" s="57">
        <v>35691</v>
      </c>
      <c r="AA121" s="24">
        <v>35692</v>
      </c>
      <c r="AB121" s="24">
        <v>35696</v>
      </c>
      <c r="AC121" s="24">
        <v>35734</v>
      </c>
      <c r="AD121">
        <v>0.34835500000000003</v>
      </c>
      <c r="AE121" t="s">
        <v>136</v>
      </c>
      <c r="AF121" t="s">
        <v>137</v>
      </c>
      <c r="AI121" s="20"/>
    </row>
    <row r="122" spans="1:35" x14ac:dyDescent="0.35">
      <c r="Z122" s="57">
        <v>35600</v>
      </c>
      <c r="AA122" s="24">
        <v>35601</v>
      </c>
      <c r="AB122" s="24">
        <v>35605</v>
      </c>
      <c r="AC122" s="24">
        <v>35642</v>
      </c>
      <c r="AD122">
        <v>0.34995300000000001</v>
      </c>
      <c r="AE122" t="s">
        <v>136</v>
      </c>
      <c r="AF122" t="s">
        <v>137</v>
      </c>
      <c r="AI122" s="20"/>
    </row>
    <row r="123" spans="1:35" x14ac:dyDescent="0.35">
      <c r="Z123" s="57">
        <v>35510</v>
      </c>
      <c r="AA123" s="24">
        <v>35510</v>
      </c>
      <c r="AB123" s="24">
        <v>35514</v>
      </c>
      <c r="AC123" s="24">
        <v>35550</v>
      </c>
      <c r="AD123">
        <v>0.29925800000000002</v>
      </c>
      <c r="AE123" t="s">
        <v>136</v>
      </c>
      <c r="AF123" t="s">
        <v>137</v>
      </c>
      <c r="AI123" s="20"/>
    </row>
    <row r="124" spans="1:35" x14ac:dyDescent="0.35">
      <c r="Z124" s="57">
        <v>35418</v>
      </c>
      <c r="AA124" s="24">
        <v>35419</v>
      </c>
      <c r="AB124" s="24">
        <v>35423</v>
      </c>
      <c r="AC124" s="24">
        <v>35461</v>
      </c>
      <c r="AD124">
        <v>0.04</v>
      </c>
      <c r="AE124" t="s">
        <v>138</v>
      </c>
      <c r="AF124" t="s">
        <v>140</v>
      </c>
      <c r="AI124" s="20"/>
    </row>
    <row r="125" spans="1:35" x14ac:dyDescent="0.35">
      <c r="Z125" s="57">
        <v>35418</v>
      </c>
      <c r="AA125" s="24">
        <v>35419</v>
      </c>
      <c r="AB125" s="24">
        <v>35423</v>
      </c>
      <c r="AC125" s="24">
        <v>35461</v>
      </c>
      <c r="AD125">
        <v>0.28681000000000001</v>
      </c>
      <c r="AE125" t="s">
        <v>136</v>
      </c>
      <c r="AF125" t="s">
        <v>137</v>
      </c>
      <c r="AI125" s="20"/>
    </row>
    <row r="126" spans="1:35" x14ac:dyDescent="0.35">
      <c r="Z126" s="57">
        <v>35419</v>
      </c>
      <c r="AA126" s="24">
        <v>35419</v>
      </c>
      <c r="AB126" s="24">
        <v>35423</v>
      </c>
      <c r="AC126" s="24">
        <v>35461</v>
      </c>
      <c r="AD126">
        <v>0.08</v>
      </c>
      <c r="AE126" t="s">
        <v>141</v>
      </c>
      <c r="AF126" t="s">
        <v>142</v>
      </c>
      <c r="AI126" s="20"/>
    </row>
    <row r="127" spans="1:35" x14ac:dyDescent="0.35">
      <c r="Z127" s="57">
        <v>35328</v>
      </c>
      <c r="AA127" s="24">
        <v>35328</v>
      </c>
      <c r="AB127" s="24">
        <v>35332</v>
      </c>
      <c r="AC127" s="24">
        <v>35369</v>
      </c>
      <c r="AD127">
        <v>0.35193999999999998</v>
      </c>
      <c r="AE127" t="s">
        <v>136</v>
      </c>
      <c r="AF127" t="s">
        <v>137</v>
      </c>
      <c r="AI127" s="20"/>
    </row>
    <row r="128" spans="1:35" x14ac:dyDescent="0.35">
      <c r="Z128" s="57">
        <v>35217</v>
      </c>
      <c r="AA128" s="24">
        <v>35237</v>
      </c>
      <c r="AB128" s="24">
        <v>35241</v>
      </c>
      <c r="AC128" s="24">
        <v>35277</v>
      </c>
      <c r="AD128">
        <v>0.35093999999999997</v>
      </c>
      <c r="AE128" t="s">
        <v>136</v>
      </c>
      <c r="AF128" t="s">
        <v>137</v>
      </c>
      <c r="AI128" s="20"/>
    </row>
    <row r="129" spans="26:35" x14ac:dyDescent="0.35">
      <c r="Z129" s="57">
        <v>35125</v>
      </c>
      <c r="AA129" s="24">
        <v>35139</v>
      </c>
      <c r="AB129" s="24">
        <v>35143</v>
      </c>
      <c r="AC129" s="24">
        <v>35185</v>
      </c>
      <c r="AD129">
        <v>0.28544999999999998</v>
      </c>
      <c r="AE129" t="s">
        <v>136</v>
      </c>
      <c r="AF129" t="s">
        <v>137</v>
      </c>
      <c r="AI129" s="20"/>
    </row>
    <row r="130" spans="26:35" x14ac:dyDescent="0.35">
      <c r="Z130" s="57">
        <v>35048</v>
      </c>
      <c r="AA130" s="24">
        <v>35048</v>
      </c>
      <c r="AB130" s="24">
        <v>35052</v>
      </c>
      <c r="AC130" s="24">
        <v>35095</v>
      </c>
      <c r="AD130">
        <v>0.372</v>
      </c>
      <c r="AE130" t="s">
        <v>136</v>
      </c>
      <c r="AF130" t="s">
        <v>137</v>
      </c>
      <c r="AI130" s="20"/>
    </row>
    <row r="131" spans="26:35" x14ac:dyDescent="0.35">
      <c r="Z131" s="57">
        <v>34956</v>
      </c>
      <c r="AA131" s="24">
        <v>34957</v>
      </c>
      <c r="AB131" s="24">
        <v>34961</v>
      </c>
      <c r="AC131" s="24">
        <v>35003</v>
      </c>
      <c r="AD131">
        <v>0.31225999999999998</v>
      </c>
      <c r="AE131" t="s">
        <v>136</v>
      </c>
      <c r="AF131" t="s">
        <v>137</v>
      </c>
      <c r="AI131" s="20"/>
    </row>
    <row r="132" spans="26:35" x14ac:dyDescent="0.35">
      <c r="Z132" s="57">
        <v>34851</v>
      </c>
      <c r="AA132" s="24">
        <v>34866</v>
      </c>
      <c r="AB132" s="24">
        <v>34870</v>
      </c>
      <c r="AC132" s="24">
        <v>34911</v>
      </c>
      <c r="AD132">
        <v>0.31620999999999999</v>
      </c>
      <c r="AE132" t="s">
        <v>136</v>
      </c>
      <c r="AF132" t="s">
        <v>137</v>
      </c>
      <c r="AI132" s="20"/>
    </row>
    <row r="133" spans="26:35" x14ac:dyDescent="0.35">
      <c r="Z133" s="57">
        <v>34759</v>
      </c>
      <c r="AA133" s="24">
        <v>34775</v>
      </c>
      <c r="AB133" s="24">
        <v>34781</v>
      </c>
      <c r="AC133" s="24">
        <v>34817</v>
      </c>
      <c r="AD133">
        <v>0.26822000000000001</v>
      </c>
      <c r="AE133" t="s">
        <v>136</v>
      </c>
      <c r="AF133" t="s">
        <v>137</v>
      </c>
      <c r="AI133" s="20"/>
    </row>
    <row r="134" spans="26:35" x14ac:dyDescent="0.35">
      <c r="Z134" s="57">
        <v>34669</v>
      </c>
      <c r="AA134" s="24">
        <v>34684</v>
      </c>
      <c r="AB134" s="24">
        <v>34690</v>
      </c>
      <c r="AC134" s="24">
        <v>34730</v>
      </c>
      <c r="AD134">
        <v>0.36273</v>
      </c>
      <c r="AE134" t="s">
        <v>136</v>
      </c>
      <c r="AF134" t="s">
        <v>137</v>
      </c>
      <c r="AI134" s="20"/>
    </row>
    <row r="135" spans="26:35" x14ac:dyDescent="0.35">
      <c r="Z135" s="57">
        <v>34593</v>
      </c>
      <c r="AA135" s="24">
        <v>34593</v>
      </c>
      <c r="AB135" s="24">
        <v>34599</v>
      </c>
      <c r="AC135" s="24">
        <v>34638</v>
      </c>
      <c r="AD135">
        <v>0.28817999999999999</v>
      </c>
      <c r="AE135" t="s">
        <v>136</v>
      </c>
      <c r="AF135" t="s">
        <v>137</v>
      </c>
      <c r="AI135" s="20"/>
    </row>
    <row r="136" spans="26:35" x14ac:dyDescent="0.35">
      <c r="Z136" s="57">
        <v>34502</v>
      </c>
      <c r="AA136" s="24">
        <v>34502</v>
      </c>
      <c r="AB136" s="24">
        <v>34508</v>
      </c>
      <c r="AC136" s="24">
        <v>34544</v>
      </c>
      <c r="AD136">
        <v>0.30497600000000002</v>
      </c>
      <c r="AE136" t="s">
        <v>136</v>
      </c>
      <c r="AF136" t="s">
        <v>137</v>
      </c>
      <c r="AI136" s="20"/>
    </row>
    <row r="137" spans="26:35" x14ac:dyDescent="0.35">
      <c r="Z137" s="57">
        <v>34394</v>
      </c>
      <c r="AA137" s="24">
        <v>34411</v>
      </c>
      <c r="AB137" s="24">
        <v>34417</v>
      </c>
      <c r="AC137" s="24">
        <v>34453</v>
      </c>
      <c r="AD137">
        <v>0.27117000000000002</v>
      </c>
      <c r="AE137" t="s">
        <v>136</v>
      </c>
      <c r="AF137" t="s">
        <v>137</v>
      </c>
      <c r="AI137" s="20"/>
    </row>
    <row r="138" spans="26:35" x14ac:dyDescent="0.35">
      <c r="Z138" s="57">
        <v>34316</v>
      </c>
      <c r="AA138" s="24">
        <v>34320</v>
      </c>
      <c r="AB138" s="24">
        <v>34326</v>
      </c>
      <c r="AC138" s="24">
        <v>34365</v>
      </c>
      <c r="AD138">
        <v>0.28723900000000002</v>
      </c>
      <c r="AE138" t="s">
        <v>136</v>
      </c>
      <c r="AF138" t="s">
        <v>137</v>
      </c>
      <c r="AI138" s="20"/>
    </row>
    <row r="139" spans="26:35" x14ac:dyDescent="0.35">
      <c r="Z139" s="57">
        <v>34229</v>
      </c>
      <c r="AA139" s="24">
        <v>34229</v>
      </c>
      <c r="AB139" s="24">
        <v>34235</v>
      </c>
      <c r="AC139" s="24">
        <v>34271</v>
      </c>
      <c r="AD139">
        <v>0.28618700000000002</v>
      </c>
      <c r="AE139" t="s">
        <v>136</v>
      </c>
      <c r="AF139" t="s">
        <v>137</v>
      </c>
      <c r="AI139" s="20"/>
    </row>
    <row r="140" spans="26:35" x14ac:dyDescent="0.35">
      <c r="Z140" s="57">
        <v>34137</v>
      </c>
      <c r="AA140" s="24">
        <v>34138</v>
      </c>
      <c r="AB140" s="24">
        <v>34144</v>
      </c>
      <c r="AC140" s="24">
        <v>34180</v>
      </c>
      <c r="AD140">
        <v>0.31802000000000002</v>
      </c>
      <c r="AE140" t="s">
        <v>136</v>
      </c>
      <c r="AF140" t="s">
        <v>137</v>
      </c>
      <c r="AI140" s="20"/>
    </row>
    <row r="141" spans="26:35" x14ac:dyDescent="0.35">
      <c r="Z141" s="57">
        <v>34043</v>
      </c>
      <c r="AA141" s="24">
        <v>34047</v>
      </c>
      <c r="AB141" s="24">
        <v>34053</v>
      </c>
      <c r="AC141" s="24">
        <v>34089</v>
      </c>
      <c r="AD141">
        <v>0.2132</v>
      </c>
      <c r="AE141" t="s">
        <v>136</v>
      </c>
      <c r="AF141" t="s">
        <v>137</v>
      </c>
      <c r="AI141" s="20"/>
    </row>
    <row r="142" spans="26:35" x14ac:dyDescent="0.35">
      <c r="Z142" s="57"/>
      <c r="AA142" s="24"/>
      <c r="AB142" s="24"/>
      <c r="AC142" s="24"/>
      <c r="AI142" s="20"/>
    </row>
    <row r="143" spans="26:35" x14ac:dyDescent="0.35">
      <c r="Z143" s="57"/>
      <c r="AA143" s="24"/>
      <c r="AB143" s="24"/>
      <c r="AC143" s="24"/>
      <c r="AI143" s="20"/>
    </row>
    <row r="144" spans="26:35" x14ac:dyDescent="0.35">
      <c r="Z144" s="57"/>
      <c r="AA144" s="24"/>
      <c r="AB144" s="24"/>
      <c r="AC144" s="24"/>
      <c r="AI144" s="20"/>
    </row>
    <row r="145" spans="26:35" x14ac:dyDescent="0.35">
      <c r="Z145" s="57"/>
      <c r="AA145" s="24"/>
      <c r="AB145" s="24"/>
      <c r="AC145" s="24"/>
      <c r="AI145" s="20"/>
    </row>
    <row r="146" spans="26:35" x14ac:dyDescent="0.35">
      <c r="Z146" s="57"/>
      <c r="AA146" s="24"/>
      <c r="AB146" s="24"/>
      <c r="AC146" s="24"/>
      <c r="AI146" s="20"/>
    </row>
    <row r="147" spans="26:35" x14ac:dyDescent="0.35">
      <c r="Z147" s="57"/>
      <c r="AA147" s="24"/>
      <c r="AB147" s="24"/>
      <c r="AC147" s="24"/>
      <c r="AI147" s="20"/>
    </row>
    <row r="148" spans="26:35" x14ac:dyDescent="0.35">
      <c r="Z148" s="57"/>
      <c r="AA148" s="24"/>
      <c r="AB148" s="24"/>
      <c r="AC148" s="24"/>
      <c r="AI148" s="20"/>
    </row>
    <row r="149" spans="26:35" x14ac:dyDescent="0.35">
      <c r="Z149" s="57"/>
      <c r="AA149" s="24"/>
      <c r="AB149" s="24"/>
      <c r="AC149" s="24"/>
      <c r="AI149" s="20"/>
    </row>
    <row r="150" spans="26:35" x14ac:dyDescent="0.35">
      <c r="Z150" s="57"/>
      <c r="AA150" s="24"/>
      <c r="AB150" s="24"/>
      <c r="AC150" s="24"/>
      <c r="AI150" s="20"/>
    </row>
    <row r="151" spans="26:35" x14ac:dyDescent="0.35">
      <c r="Z151" s="57"/>
      <c r="AA151" s="24"/>
      <c r="AB151" s="24"/>
      <c r="AC151" s="24"/>
      <c r="AI151" s="20"/>
    </row>
    <row r="152" spans="26:35" x14ac:dyDescent="0.35">
      <c r="Z152" s="57"/>
      <c r="AA152" s="24"/>
      <c r="AB152" s="24"/>
      <c r="AC152" s="24"/>
      <c r="AI152" s="20"/>
    </row>
    <row r="153" spans="26:35" x14ac:dyDescent="0.35">
      <c r="Z153" s="57"/>
      <c r="AA153" s="24"/>
      <c r="AB153" s="24"/>
      <c r="AC153" s="24"/>
      <c r="AI153" s="20"/>
    </row>
    <row r="154" spans="26:35" x14ac:dyDescent="0.35">
      <c r="Z154" s="57"/>
      <c r="AA154" s="24"/>
      <c r="AB154" s="24"/>
      <c r="AC154" s="24"/>
      <c r="AI154" s="20"/>
    </row>
    <row r="155" spans="26:35" x14ac:dyDescent="0.35">
      <c r="Z155" s="57"/>
      <c r="AA155" s="24"/>
      <c r="AB155" s="24"/>
      <c r="AC155" s="24"/>
      <c r="AI155" s="20"/>
    </row>
    <row r="156" spans="26:35" x14ac:dyDescent="0.35">
      <c r="Z156" s="57"/>
      <c r="AA156" s="24"/>
      <c r="AB156" s="24"/>
      <c r="AC156" s="24"/>
      <c r="AI156" s="20"/>
    </row>
    <row r="157" spans="26:35" x14ac:dyDescent="0.35">
      <c r="Z157" s="57"/>
      <c r="AA157" s="24"/>
      <c r="AB157" s="24"/>
      <c r="AC157" s="24"/>
      <c r="AI157" s="20"/>
    </row>
    <row r="158" spans="26:35" x14ac:dyDescent="0.35">
      <c r="Z158" s="57"/>
      <c r="AA158" s="24"/>
      <c r="AB158" s="24"/>
      <c r="AC158" s="24"/>
      <c r="AI158" s="20"/>
    </row>
    <row r="159" spans="26:35" x14ac:dyDescent="0.35">
      <c r="Z159" s="57"/>
      <c r="AA159" s="24"/>
      <c r="AB159" s="24"/>
      <c r="AC159" s="24"/>
      <c r="AI159" s="20"/>
    </row>
    <row r="160" spans="26:35" x14ac:dyDescent="0.35">
      <c r="Z160" s="57"/>
      <c r="AA160" s="24"/>
      <c r="AB160" s="24"/>
      <c r="AC160" s="24"/>
      <c r="AI160" s="20"/>
    </row>
    <row r="161" spans="26:35" x14ac:dyDescent="0.35">
      <c r="Z161" s="57"/>
      <c r="AA161" s="24"/>
      <c r="AB161" s="24"/>
      <c r="AC161" s="24"/>
      <c r="AI161" s="20"/>
    </row>
    <row r="162" spans="26:35" x14ac:dyDescent="0.35">
      <c r="Z162" s="57"/>
      <c r="AA162" s="24"/>
      <c r="AB162" s="24"/>
      <c r="AC162" s="24"/>
      <c r="AI162" s="20"/>
    </row>
    <row r="163" spans="26:35" x14ac:dyDescent="0.35">
      <c r="Z163" s="57"/>
      <c r="AA163" s="24"/>
      <c r="AB163" s="24"/>
      <c r="AC163" s="24"/>
      <c r="AI163" s="20"/>
    </row>
    <row r="164" spans="26:35" x14ac:dyDescent="0.35">
      <c r="Z164" s="57"/>
      <c r="AA164" s="24"/>
      <c r="AB164" s="24"/>
      <c r="AC164" s="24"/>
      <c r="AI164" s="20"/>
    </row>
    <row r="165" spans="26:35" x14ac:dyDescent="0.35">
      <c r="Z165" s="57"/>
      <c r="AA165" s="24"/>
      <c r="AB165" s="24"/>
      <c r="AC165" s="24"/>
      <c r="AI165" s="20"/>
    </row>
    <row r="166" spans="26:35" x14ac:dyDescent="0.35">
      <c r="Z166" s="57"/>
      <c r="AA166" s="24"/>
      <c r="AB166" s="24"/>
      <c r="AC166" s="24"/>
      <c r="AI166" s="20"/>
    </row>
    <row r="167" spans="26:35" x14ac:dyDescent="0.35">
      <c r="Z167" s="57"/>
      <c r="AA167" s="24"/>
      <c r="AB167" s="24"/>
      <c r="AC167" s="24"/>
      <c r="AI167" s="20"/>
    </row>
    <row r="168" spans="26:35" x14ac:dyDescent="0.35">
      <c r="Z168" s="57"/>
      <c r="AA168" s="24"/>
      <c r="AB168" s="24"/>
      <c r="AC168" s="24"/>
      <c r="AI168" s="20"/>
    </row>
    <row r="169" spans="26:35" x14ac:dyDescent="0.35">
      <c r="Z169" s="57"/>
      <c r="AA169" s="24"/>
      <c r="AB169" s="24"/>
      <c r="AC169" s="24"/>
      <c r="AI169" s="20"/>
    </row>
    <row r="170" spans="26:35" x14ac:dyDescent="0.35">
      <c r="Z170" s="57"/>
      <c r="AA170" s="24"/>
      <c r="AB170" s="24"/>
      <c r="AC170" s="24"/>
      <c r="AI170" s="20"/>
    </row>
    <row r="171" spans="26:35" x14ac:dyDescent="0.35">
      <c r="Z171" s="57"/>
      <c r="AA171" s="24"/>
      <c r="AB171" s="24"/>
      <c r="AC171" s="24"/>
      <c r="AI171" s="20"/>
    </row>
    <row r="172" spans="26:35" x14ac:dyDescent="0.35">
      <c r="Z172" s="57"/>
      <c r="AA172" s="24"/>
      <c r="AB172" s="24"/>
      <c r="AC172" s="24"/>
      <c r="AI172" s="20"/>
    </row>
    <row r="173" spans="26:35" x14ac:dyDescent="0.35">
      <c r="Z173" s="57"/>
      <c r="AA173" s="24"/>
      <c r="AB173" s="24"/>
      <c r="AC173" s="24"/>
      <c r="AI173" s="20"/>
    </row>
    <row r="174" spans="26:35" x14ac:dyDescent="0.35">
      <c r="Z174" s="57"/>
      <c r="AA174" s="24"/>
      <c r="AB174" s="24"/>
      <c r="AC174" s="24"/>
      <c r="AI174" s="20"/>
    </row>
    <row r="175" spans="26:35" x14ac:dyDescent="0.35">
      <c r="Z175" s="57"/>
      <c r="AA175" s="24"/>
      <c r="AB175" s="24"/>
      <c r="AC175" s="24"/>
      <c r="AI175" s="20"/>
    </row>
    <row r="176" spans="26:35" x14ac:dyDescent="0.35">
      <c r="Z176" s="57"/>
      <c r="AA176" s="24"/>
      <c r="AB176" s="24"/>
      <c r="AC176" s="24"/>
      <c r="AI176" s="20"/>
    </row>
    <row r="177" spans="26:35" x14ac:dyDescent="0.35">
      <c r="Z177" s="57"/>
      <c r="AA177" s="24"/>
      <c r="AB177" s="24"/>
      <c r="AC177" s="24"/>
      <c r="AI177" s="20"/>
    </row>
    <row r="178" spans="26:35" x14ac:dyDescent="0.35">
      <c r="Z178" s="57"/>
      <c r="AA178" s="24"/>
      <c r="AB178" s="24"/>
      <c r="AC178" s="24"/>
      <c r="AI178" s="20"/>
    </row>
    <row r="179" spans="26:35" x14ac:dyDescent="0.35">
      <c r="Z179" s="57"/>
      <c r="AA179" s="24"/>
      <c r="AB179" s="24"/>
      <c r="AC179" s="24"/>
      <c r="AI179" s="20"/>
    </row>
    <row r="180" spans="26:35" x14ac:dyDescent="0.35">
      <c r="Z180" s="57"/>
      <c r="AA180" s="24"/>
      <c r="AB180" s="24"/>
      <c r="AC180" s="24"/>
      <c r="AI180" s="20"/>
    </row>
    <row r="181" spans="26:35" x14ac:dyDescent="0.35">
      <c r="Z181" s="57"/>
      <c r="AA181" s="24"/>
      <c r="AB181" s="24"/>
      <c r="AC181" s="24"/>
      <c r="AI181" s="20"/>
    </row>
    <row r="182" spans="26:35" x14ac:dyDescent="0.35">
      <c r="Z182" s="57"/>
      <c r="AA182" s="24"/>
      <c r="AB182" s="24"/>
      <c r="AC182" s="24"/>
      <c r="AI182" s="20"/>
    </row>
    <row r="183" spans="26:35" x14ac:dyDescent="0.35">
      <c r="Z183" s="57"/>
      <c r="AA183" s="24"/>
      <c r="AB183" s="24"/>
      <c r="AC183" s="24"/>
      <c r="AI183" s="20"/>
    </row>
    <row r="184" spans="26:35" x14ac:dyDescent="0.35">
      <c r="Z184" s="57"/>
      <c r="AA184" s="24"/>
      <c r="AB184" s="24"/>
      <c r="AC184" s="24"/>
      <c r="AI184" s="20"/>
    </row>
    <row r="185" spans="26:35" x14ac:dyDescent="0.35">
      <c r="Z185" s="57"/>
      <c r="AA185" s="24"/>
      <c r="AB185" s="24"/>
      <c r="AC185" s="24"/>
      <c r="AI185" s="20"/>
    </row>
    <row r="186" spans="26:35" x14ac:dyDescent="0.35">
      <c r="Z186" s="57"/>
      <c r="AA186" s="24"/>
      <c r="AB186" s="24"/>
      <c r="AC186" s="24"/>
      <c r="AI186" s="20"/>
    </row>
    <row r="187" spans="26:35" x14ac:dyDescent="0.35">
      <c r="Z187" s="57"/>
      <c r="AA187" s="24"/>
      <c r="AB187" s="24"/>
      <c r="AC187" s="24"/>
      <c r="AI187" s="20"/>
    </row>
    <row r="188" spans="26:35" x14ac:dyDescent="0.35">
      <c r="Z188" s="57"/>
      <c r="AA188" s="24"/>
      <c r="AB188" s="24"/>
      <c r="AC188" s="24"/>
      <c r="AI188" s="20"/>
    </row>
    <row r="189" spans="26:35" x14ac:dyDescent="0.35">
      <c r="Z189" s="57"/>
      <c r="AA189" s="24"/>
      <c r="AB189" s="24"/>
      <c r="AC189" s="24"/>
      <c r="AI189" s="20"/>
    </row>
    <row r="190" spans="26:35" x14ac:dyDescent="0.35">
      <c r="Z190" s="57"/>
      <c r="AA190" s="24"/>
      <c r="AB190" s="24"/>
      <c r="AC190" s="24"/>
      <c r="AI190" s="20"/>
    </row>
    <row r="191" spans="26:35" x14ac:dyDescent="0.35">
      <c r="Z191" s="57"/>
      <c r="AA191" s="24"/>
      <c r="AB191" s="24"/>
      <c r="AC191" s="24"/>
      <c r="AI191" s="20"/>
    </row>
    <row r="192" spans="26:35" x14ac:dyDescent="0.35">
      <c r="Z192" s="57"/>
      <c r="AA192" s="24"/>
      <c r="AB192" s="24"/>
      <c r="AC192" s="24"/>
      <c r="AI192" s="20"/>
    </row>
    <row r="193" spans="26:35" x14ac:dyDescent="0.35">
      <c r="Z193" s="57"/>
      <c r="AA193" s="24"/>
      <c r="AB193" s="24"/>
      <c r="AC193" s="24"/>
      <c r="AI193" s="20"/>
    </row>
    <row r="194" spans="26:35" x14ac:dyDescent="0.35">
      <c r="Z194" s="57"/>
      <c r="AA194" s="24"/>
      <c r="AB194" s="24"/>
      <c r="AC194" s="24"/>
      <c r="AI194" s="20"/>
    </row>
    <row r="195" spans="26:35" x14ac:dyDescent="0.35">
      <c r="Z195" s="57"/>
      <c r="AA195" s="24"/>
      <c r="AB195" s="24"/>
      <c r="AC195" s="24"/>
      <c r="AI195" s="20"/>
    </row>
    <row r="196" spans="26:35" x14ac:dyDescent="0.35">
      <c r="Z196" s="57"/>
      <c r="AA196" s="24"/>
      <c r="AB196" s="24"/>
      <c r="AC196" s="24"/>
      <c r="AI196" s="20"/>
    </row>
    <row r="197" spans="26:35" x14ac:dyDescent="0.35">
      <c r="Z197" s="57"/>
      <c r="AA197" s="24"/>
      <c r="AB197" s="24"/>
      <c r="AC197" s="24"/>
      <c r="AI197" s="20"/>
    </row>
    <row r="198" spans="26:35" ht="15" thickBot="1" x14ac:dyDescent="0.4">
      <c r="Z198" s="61"/>
      <c r="AA198" s="62"/>
      <c r="AB198" s="62"/>
      <c r="AC198" s="62"/>
      <c r="AD198" s="26"/>
      <c r="AE198" s="26"/>
      <c r="AF198" s="26"/>
      <c r="AG198" s="26"/>
      <c r="AH198" s="26"/>
      <c r="AI198" s="27"/>
    </row>
  </sheetData>
  <mergeCells count="3">
    <mergeCell ref="Z11:AI12"/>
    <mergeCell ref="M14:O14"/>
    <mergeCell ref="S52:V5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A06A-359D-4451-BD74-9870A6D5E139}">
  <dimension ref="A1"/>
  <sheetViews>
    <sheetView workbookViewId="0">
      <selection activeCell="I1" sqref="I1"/>
    </sheetView>
  </sheetViews>
  <sheetFormatPr defaultRowHeight="14.5" x14ac:dyDescent="0.35"/>
  <cols>
    <col min="1" max="1" width="64.453125" customWidth="1" collapsed="1"/>
  </cols>
  <sheetData>
    <row r="1" spans="1:1" ht="246.5" x14ac:dyDescent="0.35">
      <c r="A1" s="1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C69D-3C24-4835-AFB2-F52E95197AE9}">
  <dimension ref="A1:F3"/>
  <sheetViews>
    <sheetView workbookViewId="0">
      <selection activeCell="B9" sqref="B9"/>
    </sheetView>
  </sheetViews>
  <sheetFormatPr defaultRowHeight="14.5" x14ac:dyDescent="0.35"/>
  <sheetData>
    <row r="1" spans="1:6" x14ac:dyDescent="0.35">
      <c r="A1" t="s">
        <v>183</v>
      </c>
      <c r="B1" t="s">
        <v>11</v>
      </c>
      <c r="C1" t="s">
        <v>8</v>
      </c>
      <c r="D1" t="s">
        <v>0</v>
      </c>
      <c r="E1" t="s">
        <v>12</v>
      </c>
      <c r="F1" t="s">
        <v>13</v>
      </c>
    </row>
    <row r="2" spans="1:6" x14ac:dyDescent="0.35">
      <c r="A2">
        <v>1</v>
      </c>
      <c r="B2" t="s">
        <v>14</v>
      </c>
      <c r="C2">
        <v>1500</v>
      </c>
      <c r="D2" t="s">
        <v>10</v>
      </c>
      <c r="E2" t="s">
        <v>114</v>
      </c>
      <c r="F2">
        <v>-1.234</v>
      </c>
    </row>
    <row r="3" spans="1:6" x14ac:dyDescent="0.35">
      <c r="A3">
        <v>1</v>
      </c>
      <c r="B3" t="s">
        <v>15</v>
      </c>
      <c r="C3">
        <v>2500</v>
      </c>
      <c r="D3" t="s">
        <v>16</v>
      </c>
      <c r="E3" s="2" t="s">
        <v>17</v>
      </c>
      <c r="F3">
        <v>2.0049999999999999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7AD2-CBB5-45EE-94C5-880F4C5DBADC}">
  <dimension ref="A1"/>
  <sheetViews>
    <sheetView workbookViewId="0">
      <selection activeCell="I9" sqref="I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Holidays</vt:lpstr>
      <vt:lpstr>AddTickers</vt:lpstr>
      <vt:lpstr>BlotterValidations</vt:lpstr>
      <vt:lpstr>BotCommands</vt:lpstr>
      <vt:lpstr>TC014_DP-2260</vt:lpstr>
      <vt:lpstr>Import Intraday trades</vt:lpstr>
      <vt:lpstr>Euroflex</vt:lpstr>
      <vt:lpstr>Bi-directional IOIs</vt:lpstr>
      <vt:lpstr>Dividend Data</vt:lpstr>
      <vt:lpstr>Dividend Calculation</vt:lpstr>
      <vt:lpstr>Pricingmodel data</vt:lpstr>
      <vt:lpstr>IOI Entry data_Single leg</vt:lpstr>
      <vt:lpstr>IOI Entry data_Jellyroll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Vijayan</dc:creator>
  <cp:lastModifiedBy>ARCHANA VIJAYAN</cp:lastModifiedBy>
  <dcterms:created xsi:type="dcterms:W3CDTF">2023-09-05T17:54:44Z</dcterms:created>
  <dcterms:modified xsi:type="dcterms:W3CDTF">2026-04-07T18:02:00Z</dcterms:modified>
</cp:coreProperties>
</file>